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cstil\Downloads\"/>
    </mc:Choice>
  </mc:AlternateContent>
  <xr:revisionPtr revIDLastSave="0" documentId="13_ncr:1_{9B90C652-9D44-4601-BD7A-1D50AD9A0484}" xr6:coauthVersionLast="47" xr6:coauthVersionMax="47" xr10:uidLastSave="{00000000-0000-0000-0000-000000000000}"/>
  <bookViews>
    <workbookView xWindow="28680" yWindow="-30" windowWidth="29040" windowHeight="15840" activeTab="8" xr2:uid="{00000000-000D-0000-FFFF-FFFF00000000}"/>
  </bookViews>
  <sheets>
    <sheet name="Raw" sheetId="1" r:id="rId1"/>
    <sheet name="Avg" sheetId="2" r:id="rId2"/>
    <sheet name="4b vs 9b" sheetId="5" r:id="rId3"/>
    <sheet name="Sheet3" sheetId="8" r:id="rId4"/>
    <sheet name="starting skills" sheetId="6" r:id="rId5"/>
    <sheet name="Skills" sheetId="7" r:id="rId6"/>
    <sheet name="Sheet4" sheetId="9" r:id="rId7"/>
    <sheet name="All skills" sheetId="10" r:id="rId8"/>
    <sheet name="No starting skills" sheetId="12" r:id="rId9"/>
    <sheet name="Sheet2" sheetId="11" r:id="rId10"/>
  </sheets>
  <definedNames>
    <definedName name="_xlnm._FilterDatabase" localSheetId="7" hidden="1">'All skills'!$K$5:$N$5</definedName>
    <definedName name="_xlnm._FilterDatabase" localSheetId="8" hidden="1">'No starting skills'!$K$5:$N$5</definedName>
    <definedName name="_xlnm._FilterDatabase" localSheetId="3" hidden="1">Sheet3!$A$1:$D$82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7" i="12" l="1"/>
  <c r="G27" i="12"/>
  <c r="H26" i="12"/>
  <c r="G26" i="12"/>
  <c r="H25" i="12"/>
  <c r="G25" i="12"/>
  <c r="H24" i="12"/>
  <c r="G24" i="12"/>
  <c r="H23" i="12"/>
  <c r="G23" i="12"/>
  <c r="H22" i="12"/>
  <c r="G22" i="12"/>
  <c r="H21" i="12"/>
  <c r="G21" i="12"/>
  <c r="H20" i="12"/>
  <c r="G20" i="12"/>
  <c r="H27" i="10"/>
  <c r="H26" i="10"/>
  <c r="H25" i="10"/>
  <c r="H24" i="10"/>
  <c r="H23" i="10"/>
  <c r="H22" i="10"/>
  <c r="H21" i="10"/>
  <c r="H20" i="10"/>
  <c r="G27" i="10"/>
  <c r="G26" i="10"/>
  <c r="G25" i="10"/>
  <c r="G24" i="10"/>
  <c r="G23" i="10"/>
  <c r="G22" i="10"/>
  <c r="G21" i="10"/>
  <c r="G20" i="10"/>
  <c r="F190" i="2"/>
  <c r="F192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A2" i="2"/>
  <c r="H2" i="2" s="1"/>
  <c r="A3" i="2"/>
  <c r="H3" i="2" s="1"/>
  <c r="A4" i="2"/>
  <c r="H4" i="2" s="1"/>
  <c r="A5" i="2"/>
  <c r="H5" i="2" s="1"/>
  <c r="A6" i="2"/>
  <c r="H6" i="2" s="1"/>
  <c r="A7" i="2"/>
  <c r="H7" i="2" s="1"/>
  <c r="A8" i="2"/>
  <c r="H8" i="2" s="1"/>
  <c r="A9" i="2"/>
  <c r="H9" i="2" s="1"/>
  <c r="A10" i="2"/>
  <c r="H10" i="2" s="1"/>
  <c r="A11" i="2"/>
  <c r="H11" i="2" s="1"/>
  <c r="A12" i="2"/>
  <c r="H12" i="2" s="1"/>
  <c r="A13" i="2"/>
  <c r="H13" i="2" s="1"/>
  <c r="A14" i="2"/>
  <c r="H14" i="2" s="1"/>
  <c r="A15" i="2"/>
  <c r="H15" i="2" s="1"/>
  <c r="A16" i="2"/>
  <c r="H16" i="2" s="1"/>
  <c r="A17" i="2"/>
  <c r="H17" i="2" s="1"/>
  <c r="A18" i="2"/>
  <c r="H18" i="2" s="1"/>
  <c r="A19" i="2"/>
  <c r="H19" i="2" s="1"/>
  <c r="A20" i="2"/>
  <c r="H20" i="2" s="1"/>
  <c r="A21" i="2"/>
  <c r="H21" i="2" s="1"/>
  <c r="A22" i="2"/>
  <c r="H22" i="2" s="1"/>
  <c r="A23" i="2"/>
  <c r="H23" i="2" s="1"/>
  <c r="A24" i="2"/>
  <c r="H24" i="2" s="1"/>
  <c r="A25" i="2"/>
  <c r="H25" i="2" s="1"/>
  <c r="A26" i="2"/>
  <c r="H26" i="2" s="1"/>
  <c r="A27" i="2"/>
  <c r="H27" i="2" s="1"/>
  <c r="A28" i="2"/>
  <c r="H28" i="2" s="1"/>
  <c r="A29" i="2"/>
  <c r="H29" i="2" s="1"/>
  <c r="A30" i="2"/>
  <c r="H30" i="2" s="1"/>
  <c r="A31" i="2"/>
  <c r="H31" i="2" s="1"/>
  <c r="A32" i="2"/>
  <c r="H32" i="2" s="1"/>
  <c r="A33" i="2"/>
  <c r="H33" i="2" s="1"/>
  <c r="A34" i="2"/>
  <c r="H34" i="2" s="1"/>
  <c r="A35" i="2"/>
  <c r="H35" i="2" s="1"/>
  <c r="A36" i="2"/>
  <c r="H36" i="2" s="1"/>
  <c r="A37" i="2"/>
  <c r="H37" i="2" s="1"/>
  <c r="A38" i="2"/>
  <c r="H38" i="2" s="1"/>
  <c r="A39" i="2"/>
  <c r="H39" i="2" s="1"/>
  <c r="A40" i="2"/>
  <c r="H40" i="2" s="1"/>
  <c r="A41" i="2"/>
  <c r="H41" i="2" s="1"/>
  <c r="A42" i="2"/>
  <c r="H42" i="2" s="1"/>
  <c r="A43" i="2"/>
  <c r="H43" i="2" s="1"/>
  <c r="A44" i="2"/>
  <c r="H44" i="2" s="1"/>
  <c r="A45" i="2"/>
  <c r="H45" i="2" s="1"/>
  <c r="A46" i="2"/>
  <c r="H46" i="2" s="1"/>
  <c r="A47" i="2"/>
  <c r="H47" i="2" s="1"/>
  <c r="A48" i="2"/>
  <c r="H48" i="2" s="1"/>
  <c r="A49" i="2"/>
  <c r="H49" i="2" s="1"/>
  <c r="A50" i="2"/>
  <c r="H50" i="2" s="1"/>
  <c r="A51" i="2"/>
  <c r="H51" i="2" s="1"/>
  <c r="A52" i="2"/>
  <c r="H52" i="2" s="1"/>
  <c r="A53" i="2"/>
  <c r="H53" i="2" s="1"/>
  <c r="A54" i="2"/>
  <c r="H54" i="2" s="1"/>
  <c r="A55" i="2"/>
  <c r="H55" i="2" s="1"/>
  <c r="A56" i="2"/>
  <c r="H56" i="2" s="1"/>
  <c r="A57" i="2"/>
  <c r="H57" i="2" s="1"/>
  <c r="A58" i="2"/>
  <c r="H58" i="2" s="1"/>
  <c r="A59" i="2"/>
  <c r="H59" i="2" s="1"/>
  <c r="A60" i="2"/>
  <c r="H60" i="2" s="1"/>
  <c r="A61" i="2"/>
  <c r="H61" i="2" s="1"/>
  <c r="A62" i="2"/>
  <c r="H62" i="2" s="1"/>
  <c r="A63" i="2"/>
  <c r="H63" i="2" s="1"/>
  <c r="A64" i="2"/>
  <c r="H64" i="2" s="1"/>
  <c r="A65" i="2"/>
  <c r="H65" i="2" s="1"/>
  <c r="A66" i="2"/>
  <c r="H66" i="2" s="1"/>
  <c r="A67" i="2"/>
  <c r="H67" i="2" s="1"/>
  <c r="A68" i="2"/>
  <c r="H68" i="2" s="1"/>
  <c r="A69" i="2"/>
  <c r="H69" i="2" s="1"/>
  <c r="A70" i="2"/>
  <c r="H70" i="2" s="1"/>
  <c r="A71" i="2"/>
  <c r="H71" i="2" s="1"/>
  <c r="A72" i="2"/>
  <c r="H72" i="2" s="1"/>
  <c r="A73" i="2"/>
  <c r="H73" i="2" s="1"/>
  <c r="A74" i="2"/>
  <c r="H74" i="2" s="1"/>
  <c r="A75" i="2"/>
  <c r="H75" i="2" s="1"/>
  <c r="A76" i="2"/>
  <c r="H76" i="2" s="1"/>
  <c r="A77" i="2"/>
  <c r="H77" i="2" s="1"/>
  <c r="A78" i="2"/>
  <c r="H78" i="2" s="1"/>
  <c r="A79" i="2"/>
  <c r="H79" i="2" s="1"/>
  <c r="A80" i="2"/>
  <c r="H80" i="2" s="1"/>
  <c r="A81" i="2"/>
  <c r="H81" i="2" s="1"/>
  <c r="A82" i="2"/>
  <c r="H82" i="2" s="1"/>
  <c r="A83" i="2"/>
  <c r="H83" i="2" s="1"/>
  <c r="A84" i="2"/>
  <c r="H84" i="2" s="1"/>
  <c r="A85" i="2"/>
  <c r="H85" i="2" s="1"/>
  <c r="A86" i="2"/>
  <c r="H86" i="2" s="1"/>
  <c r="A87" i="2"/>
  <c r="H87" i="2" s="1"/>
  <c r="A88" i="2"/>
  <c r="H88" i="2" s="1"/>
  <c r="A89" i="2"/>
  <c r="H89" i="2" s="1"/>
  <c r="A90" i="2"/>
  <c r="H90" i="2" s="1"/>
  <c r="A91" i="2"/>
  <c r="H91" i="2" s="1"/>
  <c r="A92" i="2"/>
  <c r="H92" i="2" s="1"/>
  <c r="A93" i="2"/>
  <c r="H93" i="2" s="1"/>
  <c r="A94" i="2"/>
  <c r="H94" i="2" s="1"/>
  <c r="A95" i="2"/>
  <c r="H95" i="2" s="1"/>
  <c r="A96" i="2"/>
  <c r="H96" i="2" s="1"/>
  <c r="A97" i="2"/>
  <c r="H97" i="2" s="1"/>
  <c r="A98" i="2"/>
  <c r="H98" i="2" s="1"/>
  <c r="A99" i="2"/>
  <c r="H99" i="2" s="1"/>
  <c r="A100" i="2"/>
  <c r="H100" i="2" s="1"/>
  <c r="A101" i="2"/>
  <c r="H101" i="2" s="1"/>
  <c r="A102" i="2"/>
  <c r="H102" i="2" s="1"/>
  <c r="A103" i="2"/>
  <c r="H103" i="2" s="1"/>
  <c r="A104" i="2"/>
  <c r="H104" i="2" s="1"/>
  <c r="A105" i="2"/>
  <c r="H105" i="2" s="1"/>
  <c r="A106" i="2"/>
  <c r="H106" i="2" s="1"/>
  <c r="A107" i="2"/>
  <c r="H107" i="2" s="1"/>
  <c r="A108" i="2"/>
  <c r="H108" i="2" s="1"/>
  <c r="A109" i="2"/>
  <c r="H109" i="2" s="1"/>
  <c r="A110" i="2"/>
  <c r="H110" i="2" s="1"/>
  <c r="A111" i="2"/>
  <c r="H111" i="2" s="1"/>
  <c r="A112" i="2"/>
  <c r="H112" i="2" s="1"/>
  <c r="A113" i="2"/>
  <c r="H113" i="2" s="1"/>
  <c r="A114" i="2"/>
  <c r="H114" i="2" s="1"/>
  <c r="A115" i="2"/>
  <c r="H115" i="2" s="1"/>
  <c r="A116" i="2"/>
  <c r="H116" i="2" s="1"/>
  <c r="A117" i="2"/>
  <c r="H117" i="2" s="1"/>
  <c r="A118" i="2"/>
  <c r="H118" i="2" s="1"/>
  <c r="A119" i="2"/>
  <c r="H119" i="2" s="1"/>
  <c r="A120" i="2"/>
  <c r="H120" i="2" s="1"/>
  <c r="A121" i="2"/>
  <c r="H121" i="2" s="1"/>
  <c r="A122" i="2"/>
  <c r="H122" i="2" s="1"/>
  <c r="A123" i="2"/>
  <c r="H123" i="2" s="1"/>
  <c r="A124" i="2"/>
  <c r="H124" i="2" s="1"/>
  <c r="A125" i="2"/>
  <c r="H125" i="2" s="1"/>
  <c r="A126" i="2"/>
  <c r="H126" i="2" s="1"/>
  <c r="A127" i="2"/>
  <c r="H127" i="2" s="1"/>
  <c r="A128" i="2"/>
  <c r="H128" i="2" s="1"/>
  <c r="A129" i="2"/>
  <c r="H129" i="2" s="1"/>
  <c r="A130" i="2"/>
  <c r="H130" i="2" s="1"/>
  <c r="A131" i="2"/>
  <c r="H131" i="2" s="1"/>
  <c r="A132" i="2"/>
  <c r="H132" i="2" s="1"/>
  <c r="A133" i="2"/>
  <c r="H133" i="2" s="1"/>
  <c r="A134" i="2"/>
  <c r="H134" i="2" s="1"/>
  <c r="A135" i="2"/>
  <c r="H135" i="2" s="1"/>
  <c r="A136" i="2"/>
  <c r="H136" i="2" s="1"/>
  <c r="A137" i="2"/>
  <c r="H137" i="2" s="1"/>
  <c r="A138" i="2"/>
  <c r="H138" i="2" s="1"/>
  <c r="A139" i="2"/>
  <c r="H139" i="2" s="1"/>
  <c r="A140" i="2"/>
  <c r="H140" i="2" s="1"/>
  <c r="A141" i="2"/>
  <c r="H141" i="2" s="1"/>
  <c r="A142" i="2"/>
  <c r="H142" i="2" s="1"/>
  <c r="A143" i="2"/>
  <c r="H143" i="2" s="1"/>
  <c r="A144" i="2"/>
  <c r="H144" i="2" s="1"/>
  <c r="A145" i="2"/>
  <c r="H145" i="2" s="1"/>
  <c r="A146" i="2"/>
  <c r="H146" i="2" s="1"/>
  <c r="A147" i="2"/>
  <c r="H147" i="2" s="1"/>
  <c r="A148" i="2"/>
  <c r="H148" i="2" s="1"/>
  <c r="A149" i="2"/>
  <c r="H149" i="2" s="1"/>
  <c r="A150" i="2"/>
  <c r="H150" i="2" s="1"/>
  <c r="A151" i="2"/>
  <c r="H151" i="2" s="1"/>
  <c r="A152" i="2"/>
  <c r="H152" i="2" s="1"/>
  <c r="A153" i="2"/>
  <c r="H153" i="2" s="1"/>
  <c r="A154" i="2"/>
  <c r="H154" i="2" s="1"/>
  <c r="A155" i="2"/>
  <c r="H155" i="2" s="1"/>
  <c r="A156" i="2"/>
  <c r="H156" i="2" s="1"/>
  <c r="A157" i="2"/>
  <c r="H157" i="2" s="1"/>
  <c r="A158" i="2"/>
  <c r="H158" i="2" s="1"/>
  <c r="A159" i="2"/>
  <c r="H159" i="2" s="1"/>
  <c r="A160" i="2"/>
  <c r="H160" i="2" s="1"/>
  <c r="A161" i="2"/>
  <c r="H161" i="2" s="1"/>
  <c r="A162" i="2"/>
  <c r="H162" i="2" s="1"/>
  <c r="A163" i="2"/>
  <c r="H163" i="2" s="1"/>
  <c r="A164" i="2"/>
  <c r="H164" i="2" s="1"/>
  <c r="A165" i="2"/>
  <c r="H165" i="2" s="1"/>
  <c r="A166" i="2"/>
  <c r="H166" i="2" s="1"/>
  <c r="A167" i="2"/>
  <c r="H167" i="2" s="1"/>
  <c r="A168" i="2"/>
  <c r="H168" i="2" s="1"/>
  <c r="A169" i="2"/>
  <c r="H169" i="2" s="1"/>
  <c r="A170" i="2"/>
  <c r="H170" i="2" s="1"/>
  <c r="A171" i="2"/>
  <c r="H171" i="2" s="1"/>
  <c r="A172" i="2"/>
  <c r="H172" i="2" s="1"/>
  <c r="A173" i="2"/>
  <c r="H173" i="2" s="1"/>
  <c r="A174" i="2"/>
  <c r="H174" i="2" s="1"/>
  <c r="A175" i="2"/>
  <c r="H175" i="2" s="1"/>
  <c r="A176" i="2"/>
  <c r="H176" i="2" s="1"/>
  <c r="A177" i="2"/>
  <c r="H177" i="2" s="1"/>
  <c r="A178" i="2"/>
  <c r="H178" i="2" s="1"/>
  <c r="A179" i="2"/>
  <c r="H179" i="2" s="1"/>
  <c r="A180" i="2"/>
  <c r="H180" i="2" s="1"/>
  <c r="A181" i="2"/>
  <c r="H181" i="2" s="1"/>
  <c r="A182" i="2"/>
  <c r="H182" i="2" s="1"/>
  <c r="A183" i="2"/>
  <c r="H183" i="2" s="1"/>
  <c r="A184" i="2"/>
  <c r="H184" i="2" s="1"/>
  <c r="A185" i="2"/>
  <c r="H185" i="2" s="1"/>
  <c r="A186" i="2"/>
  <c r="H186" i="2" s="1"/>
  <c r="A187" i="2"/>
  <c r="H187" i="2" s="1"/>
  <c r="A188" i="2"/>
  <c r="H188" i="2" s="1"/>
  <c r="A189" i="2"/>
  <c r="H189" i="2" s="1"/>
  <c r="A190" i="2"/>
  <c r="H190" i="2" s="1"/>
  <c r="A191" i="2"/>
  <c r="H191" i="2" s="1"/>
  <c r="C57" i="5" s="1" a="1"/>
  <c r="C57" i="5" s="1"/>
  <c r="A192" i="2"/>
  <c r="H192" i="2" s="1"/>
  <c r="A193" i="2"/>
  <c r="H193" i="2" s="1"/>
  <c r="A194" i="2"/>
  <c r="H194" i="2" s="1"/>
  <c r="A195" i="2"/>
  <c r="H195" i="2" s="1"/>
  <c r="A196" i="2"/>
  <c r="H196" i="2" s="1"/>
  <c r="A2" i="7"/>
  <c r="A3" i="7"/>
  <c r="A4" i="7"/>
  <c r="A5" i="7"/>
  <c r="A6" i="7"/>
  <c r="A7" i="7"/>
  <c r="A8" i="7"/>
  <c r="A9" i="7"/>
  <c r="A10" i="7"/>
  <c r="A11" i="7"/>
  <c r="A12" i="7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32" i="7"/>
  <c r="A33" i="7"/>
  <c r="A34" i="7"/>
  <c r="A35" i="7"/>
  <c r="A36" i="7"/>
  <c r="A37" i="7"/>
  <c r="A38" i="7"/>
  <c r="A39" i="7"/>
  <c r="A40" i="7"/>
  <c r="A41" i="7"/>
  <c r="A42" i="7"/>
  <c r="A43" i="7"/>
  <c r="A44" i="7"/>
  <c r="A45" i="7"/>
  <c r="A46" i="7"/>
  <c r="A47" i="7"/>
  <c r="A48" i="7"/>
  <c r="A49" i="7"/>
  <c r="A50" i="7"/>
  <c r="A51" i="7"/>
  <c r="A52" i="7"/>
  <c r="A53" i="7"/>
  <c r="A54" i="7"/>
  <c r="A55" i="7"/>
  <c r="A2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F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D45" i="5" s="1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B43" i="5" s="1"/>
  <c r="F123" i="2"/>
  <c r="F124" i="2"/>
  <c r="B45" i="5" s="1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1" i="2"/>
  <c r="F193" i="2"/>
  <c r="F194" i="2"/>
  <c r="F195" i="2"/>
  <c r="F196" i="2"/>
  <c r="D36" i="5" l="1"/>
  <c r="B26" i="5"/>
  <c r="C19" i="5" a="1"/>
  <c r="C19" i="5" s="1"/>
  <c r="B42" i="5"/>
  <c r="D35" i="5"/>
  <c r="D11" i="5"/>
  <c r="E6" i="5" a="1"/>
  <c r="E6" i="5" s="1"/>
  <c r="B41" i="5"/>
  <c r="D34" i="5"/>
  <c r="D10" i="5"/>
  <c r="B40" i="5"/>
  <c r="D33" i="5"/>
  <c r="D9" i="5"/>
  <c r="B39" i="5"/>
  <c r="D32" i="5"/>
  <c r="D8" i="5"/>
  <c r="B38" i="5"/>
  <c r="D31" i="5"/>
  <c r="D7" i="5"/>
  <c r="B37" i="5"/>
  <c r="D30" i="5"/>
  <c r="B36" i="5"/>
  <c r="D29" i="5"/>
  <c r="D28" i="5"/>
  <c r="D27" i="5"/>
  <c r="D26" i="5"/>
  <c r="B35" i="5"/>
  <c r="D6" i="5"/>
  <c r="D44" i="5"/>
  <c r="B34" i="5"/>
  <c r="D5" i="5"/>
  <c r="D43" i="5"/>
  <c r="B33" i="5"/>
  <c r="D4" i="5"/>
  <c r="D42" i="5"/>
  <c r="B32" i="5"/>
  <c r="D3" i="5"/>
  <c r="D41" i="5"/>
  <c r="B31" i="5"/>
  <c r="D2" i="5"/>
  <c r="E21" i="5" a="1"/>
  <c r="E21" i="5" s="1"/>
  <c r="D40" i="5"/>
  <c r="B30" i="5"/>
  <c r="D21" i="5"/>
  <c r="D39" i="5"/>
  <c r="B29" i="5"/>
  <c r="C45" i="5" a="1"/>
  <c r="C45" i="5" s="1"/>
  <c r="D38" i="5"/>
  <c r="B28" i="5"/>
  <c r="B44" i="5"/>
  <c r="D37" i="5"/>
  <c r="C27" i="5" a="1"/>
  <c r="C27" i="5" s="1"/>
  <c r="E20" i="5" a="1"/>
  <c r="E20" i="5" s="1"/>
  <c r="D20" i="5"/>
  <c r="C44" i="5" a="1"/>
  <c r="C44" i="5" s="1"/>
  <c r="E19" i="5" a="1"/>
  <c r="E19" i="5" s="1"/>
  <c r="D19" i="5"/>
  <c r="C43" i="5" a="1"/>
  <c r="C43" i="5" s="1"/>
  <c r="E18" i="5" a="1"/>
  <c r="E18" i="5" s="1"/>
  <c r="D18" i="5"/>
  <c r="C42" i="5" a="1"/>
  <c r="C42" i="5" s="1"/>
  <c r="E17" i="5" a="1"/>
  <c r="E17" i="5" s="1"/>
  <c r="D17" i="5"/>
  <c r="C41" i="5" a="1"/>
  <c r="C41" i="5" s="1"/>
  <c r="E16" i="5" a="1"/>
  <c r="E16" i="5" s="1"/>
  <c r="D16" i="5"/>
  <c r="C40" i="5" a="1"/>
  <c r="C40" i="5" s="1"/>
  <c r="E15" i="5" a="1"/>
  <c r="E15" i="5" s="1"/>
  <c r="D15" i="5"/>
  <c r="C39" i="5" a="1"/>
  <c r="C39" i="5" s="1"/>
  <c r="E14" i="5" a="1"/>
  <c r="E14" i="5" s="1"/>
  <c r="D14" i="5"/>
  <c r="C38" i="5" a="1"/>
  <c r="C38" i="5" s="1"/>
  <c r="E13" i="5" a="1"/>
  <c r="E13" i="5" s="1"/>
  <c r="D13" i="5"/>
  <c r="C37" i="5" a="1"/>
  <c r="C37" i="5" s="1"/>
  <c r="E12" i="5" a="1"/>
  <c r="E12" i="5" s="1"/>
  <c r="D12" i="5"/>
  <c r="C36" i="5" a="1"/>
  <c r="C36" i="5" s="1"/>
  <c r="E11" i="5" a="1"/>
  <c r="E11" i="5" s="1"/>
  <c r="C35" i="5" a="1"/>
  <c r="C35" i="5" s="1"/>
  <c r="E10" i="5" a="1"/>
  <c r="E10" i="5" s="1"/>
  <c r="C34" i="5" a="1"/>
  <c r="C34" i="5" s="1"/>
  <c r="E9" i="5" a="1"/>
  <c r="E9" i="5" s="1"/>
  <c r="C33" i="5" a="1"/>
  <c r="C33" i="5" s="1"/>
  <c r="E8" i="5" a="1"/>
  <c r="E8" i="5" s="1"/>
  <c r="C32" i="5" a="1"/>
  <c r="C32" i="5" s="1"/>
  <c r="E7" i="5" a="1"/>
  <c r="E7" i="5" s="1"/>
  <c r="C31" i="5" a="1"/>
  <c r="C31" i="5" s="1"/>
  <c r="C30" i="5" a="1"/>
  <c r="C30" i="5" s="1"/>
  <c r="E5" i="5" a="1"/>
  <c r="E5" i="5" s="1"/>
  <c r="C29" i="5" a="1"/>
  <c r="C29" i="5" s="1"/>
  <c r="E4" i="5" a="1"/>
  <c r="E4" i="5" s="1"/>
  <c r="C28" i="5" a="1"/>
  <c r="C28" i="5" s="1"/>
  <c r="E3" i="5" a="1"/>
  <c r="E3" i="5" s="1"/>
  <c r="C26" i="5" a="1"/>
  <c r="C26" i="5" s="1"/>
  <c r="B27" i="5"/>
  <c r="E2" i="5" a="1"/>
  <c r="E2" i="5" s="1"/>
  <c r="C55" i="5" a="1"/>
  <c r="C55" i="5" s="1"/>
  <c r="C60" i="5" a="1"/>
  <c r="C60" i="5" s="1"/>
  <c r="C56" i="5" a="1"/>
  <c r="C56" i="5" s="1"/>
  <c r="B51" i="5"/>
  <c r="C61" i="5" a="1"/>
  <c r="C61" i="5" s="1"/>
  <c r="C59" i="5" a="1"/>
  <c r="C59" i="5" s="1"/>
  <c r="C58" i="5" a="1"/>
  <c r="C58" i="5" s="1"/>
  <c r="C69" i="5" a="1"/>
  <c r="C69" i="5" s="1"/>
  <c r="C68" i="5" a="1"/>
  <c r="C68" i="5" s="1"/>
  <c r="C67" i="5" a="1"/>
  <c r="C67" i="5" s="1"/>
  <c r="C66" i="5" a="1"/>
  <c r="C66" i="5" s="1"/>
  <c r="B65" i="5"/>
  <c r="B64" i="5"/>
  <c r="B63" i="5"/>
  <c r="B62" i="5"/>
  <c r="B55" i="5"/>
  <c r="B54" i="5"/>
  <c r="B53" i="5"/>
  <c r="B52" i="5"/>
  <c r="C65" i="5" a="1"/>
  <c r="C65" i="5" s="1"/>
  <c r="B50" i="5"/>
  <c r="C64" i="5" a="1"/>
  <c r="C64" i="5" s="1"/>
  <c r="B69" i="5"/>
  <c r="C63" i="5" a="1"/>
  <c r="C63" i="5" s="1"/>
  <c r="B68" i="5"/>
  <c r="C62" i="5" a="1"/>
  <c r="C62" i="5" s="1"/>
  <c r="B67" i="5"/>
  <c r="B66" i="5"/>
  <c r="B61" i="5"/>
  <c r="B60" i="5"/>
  <c r="C54" i="5" a="1"/>
  <c r="C54" i="5" s="1"/>
  <c r="B59" i="5"/>
  <c r="C53" i="5" a="1"/>
  <c r="C53" i="5" s="1"/>
  <c r="B58" i="5"/>
  <c r="C52" i="5" a="1"/>
  <c r="C52" i="5" s="1"/>
  <c r="B57" i="5"/>
  <c r="C51" i="5" a="1"/>
  <c r="C51" i="5" s="1"/>
  <c r="B56" i="5"/>
  <c r="C50" i="5" a="1"/>
  <c r="C50" i="5" s="1"/>
  <c r="E36" i="5" a="1"/>
  <c r="E36" i="5" s="1"/>
  <c r="E30" i="5" a="1"/>
  <c r="E30" i="5" s="1"/>
  <c r="E35" i="5" a="1"/>
  <c r="E35" i="5" s="1"/>
  <c r="E34" i="5" a="1"/>
  <c r="E34" i="5" s="1"/>
  <c r="E33" i="5" a="1"/>
  <c r="E33" i="5" s="1"/>
  <c r="E32" i="5" a="1"/>
  <c r="E32" i="5" s="1"/>
  <c r="E29" i="5" a="1"/>
  <c r="E29" i="5" s="1"/>
  <c r="E28" i="5" a="1"/>
  <c r="E28" i="5" s="1"/>
  <c r="E27" i="5" a="1"/>
  <c r="E27" i="5" s="1"/>
  <c r="E26" i="5" a="1"/>
  <c r="E26" i="5" s="1"/>
  <c r="E45" i="5" a="1"/>
  <c r="E45" i="5" s="1"/>
  <c r="E44" i="5" a="1"/>
  <c r="E44" i="5" s="1"/>
  <c r="E43" i="5" a="1"/>
  <c r="E43" i="5" s="1"/>
  <c r="E41" i="5" a="1"/>
  <c r="E41" i="5" s="1"/>
  <c r="E31" i="5" a="1"/>
  <c r="E31" i="5" s="1"/>
  <c r="E40" i="5" a="1"/>
  <c r="E40" i="5" s="1"/>
  <c r="E39" i="5" a="1"/>
  <c r="E39" i="5" s="1"/>
  <c r="E38" i="5" a="1"/>
  <c r="E38" i="5" s="1"/>
  <c r="E37" i="5" a="1"/>
  <c r="E37" i="5" s="1"/>
  <c r="E42" i="5" a="1"/>
  <c r="E42" i="5" s="1"/>
  <c r="C11" i="5" a="1"/>
  <c r="C11" i="5" s="1"/>
  <c r="C20" i="5" a="1"/>
  <c r="C20" i="5" s="1"/>
  <c r="B19" i="5"/>
  <c r="C18" i="5" a="1"/>
  <c r="C18" i="5" s="1"/>
  <c r="C10" i="5" a="1"/>
  <c r="C10" i="5" s="1"/>
  <c r="C9" i="5" a="1"/>
  <c r="C9" i="5" s="1"/>
  <c r="C8" i="5" a="1"/>
  <c r="C8" i="5" s="1"/>
  <c r="C7" i="5" a="1"/>
  <c r="C7" i="5" s="1"/>
  <c r="C21" i="5" a="1"/>
  <c r="C21" i="5" s="1"/>
  <c r="C6" i="5" a="1"/>
  <c r="C6" i="5" s="1"/>
  <c r="C5" i="5" a="1"/>
  <c r="C5" i="5" s="1"/>
  <c r="C4" i="5" a="1"/>
  <c r="C4" i="5" s="1"/>
  <c r="C3" i="5" a="1"/>
  <c r="C3" i="5" s="1"/>
  <c r="C17" i="5" a="1"/>
  <c r="C17" i="5" s="1"/>
  <c r="C2" i="5" a="1"/>
  <c r="C2" i="5" s="1"/>
  <c r="C16" i="5" a="1"/>
  <c r="C16" i="5" s="1"/>
  <c r="C15" i="5" a="1"/>
  <c r="C15" i="5" s="1"/>
  <c r="C14" i="5" a="1"/>
  <c r="C14" i="5" s="1"/>
  <c r="C13" i="5" a="1"/>
  <c r="C13" i="5" s="1"/>
  <c r="B20" i="5"/>
  <c r="C12" i="5" a="1"/>
  <c r="C12" i="5" s="1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5" i="5"/>
  <c r="B4" i="5"/>
  <c r="B3" i="5"/>
  <c r="B2" i="5"/>
  <c r="B21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<sst xmlns="http://schemas.openxmlformats.org/spreadsheetml/2006/main" count="2542" uniqueCount="186">
  <si>
    <t>Bot</t>
  </si>
  <si>
    <t>Model</t>
  </si>
  <si>
    <t>Reason</t>
  </si>
  <si>
    <t>Lineage</t>
  </si>
  <si>
    <t>qwen3.5:4b</t>
  </si>
  <si>
    <t>low</t>
  </si>
  <si>
    <t>Survival</t>
  </si>
  <si>
    <t>Gen</t>
  </si>
  <si>
    <t>qwen3.5:9b</t>
  </si>
  <si>
    <t>high</t>
  </si>
  <si>
    <t>normal</t>
  </si>
  <si>
    <t>three bots</t>
  </si>
  <si>
    <t>long run</t>
  </si>
  <si>
    <t>long run no starting skills</t>
  </si>
  <si>
    <t>Note</t>
  </si>
  <si>
    <t>Real Run 1</t>
  </si>
  <si>
    <t>Real Run 2 removed skills</t>
  </si>
  <si>
    <t>Real Run 3 - 20 generations</t>
  </si>
  <si>
    <t>Real Run 4 - new knowlegebase prompt</t>
  </si>
  <si>
    <t>x-ai/grok-4.1-fast</t>
  </si>
  <si>
    <t>Real Run 5 - Grok all models</t>
  </si>
  <si>
    <t>Real Run 6 - new knowledgebase prompt 2</t>
  </si>
  <si>
    <t>moonshotai/kimi-k2.6</t>
  </si>
  <si>
    <t>Self preservation</t>
  </si>
  <si>
    <t>Requests</t>
  </si>
  <si>
    <t>Planning</t>
  </si>
  <si>
    <t>Coordination</t>
  </si>
  <si>
    <t>Warnings</t>
  </si>
  <si>
    <t>Real Run 7 - Kimi k26</t>
  </si>
  <si>
    <t>Real Run 8 - prompt adjustments</t>
  </si>
  <si>
    <t>Real Run 9 - further prompt adjustments</t>
  </si>
  <si>
    <t>Real Run 10 - only send message and do nothing tools</t>
  </si>
  <si>
    <t>Real Run 12 - survival focus and gemini knowledgebase</t>
  </si>
  <si>
    <t>openai/gpt-5.5</t>
  </si>
  <si>
    <t>Real Run 13 - State of the art</t>
  </si>
  <si>
    <t>model</t>
  </si>
  <si>
    <t>Generation</t>
  </si>
  <si>
    <t>qwen3.5:4b average survival time (s)</t>
  </si>
  <si>
    <t>qwen3.5:4b average survival time std</t>
  </si>
  <si>
    <t>qwen3.5:9b average survival time (s)</t>
  </si>
  <si>
    <t>qwen3.5:9b average survival time std</t>
  </si>
  <si>
    <t>Real Run 10 - only send message and do nothing tools. No tools</t>
  </si>
  <si>
    <t>Real Run 12 - survival focus and gemini knowledgebase. No tools</t>
  </si>
  <si>
    <t>Real Run 12 - survival focus and gemini knowledgebase. No tools. Actual time 405470</t>
  </si>
  <si>
    <t>Real Run 12 - survival focus and gemini knowledgebase. No tools. Actaual time 123802</t>
  </si>
  <si>
    <t>10 generationLine1</t>
  </si>
  <si>
    <t>3 generationLine1</t>
  </si>
  <si>
    <t>4 generationLine2</t>
  </si>
  <si>
    <t>5 generationLine3</t>
  </si>
  <si>
    <t>6 generationLine4</t>
  </si>
  <si>
    <t>7 generationLine5</t>
  </si>
  <si>
    <t>8 generationLine6</t>
  </si>
  <si>
    <t>9 generationLine7</t>
  </si>
  <si>
    <t>13 Real Run 2 removed skills</t>
  </si>
  <si>
    <t>14 Real Run 3 - 20 generations</t>
  </si>
  <si>
    <t>15 Real Run 4 - new knowlegebase prompt</t>
  </si>
  <si>
    <t>16 Real Run 5 - Grok all models</t>
  </si>
  <si>
    <t>17 Real Run 6 - new knowledgebase prompt 2</t>
  </si>
  <si>
    <t>18 Real Run 7 - Kimi k26</t>
  </si>
  <si>
    <t>21 Real Run 10 - only send message and do nothing tools</t>
  </si>
  <si>
    <t>22 Real Run 12 - survival focus and gemini knowledgebase</t>
  </si>
  <si>
    <t>23 Real Run 13 - State of the art</t>
  </si>
  <si>
    <t>Skills generated</t>
  </si>
  <si>
    <t>ID</t>
  </si>
  <si>
    <t>SkillsGen</t>
  </si>
  <si>
    <t>StartingSkills</t>
  </si>
  <si>
    <t>Tools average survival time (s)</t>
  </si>
  <si>
    <t>Tools average survival time std</t>
  </si>
  <si>
    <t>No tools average survival time (s)</t>
  </si>
  <si>
    <t>No tools average survival time std</t>
  </si>
  <si>
    <t>Skills generated std</t>
  </si>
  <si>
    <t>Category</t>
  </si>
  <si>
    <t>Skill Name</t>
  </si>
  <si>
    <t>Combat - Offensive</t>
  </si>
  <si>
    <t>attack_hostile_by_id</t>
  </si>
  <si>
    <t>attack_hostile_with_bow</t>
  </si>
  <si>
    <t>attack_nearest_hostile</t>
  </si>
  <si>
    <t>attack_with_bow</t>
  </si>
  <si>
    <t>bow_attack</t>
  </si>
  <si>
    <t>flank_and_attack_hostile</t>
  </si>
  <si>
    <t>melee_attack</t>
  </si>
  <si>
    <t>melee_attack_closest_hostile</t>
  </si>
  <si>
    <t>melee_attack_forward</t>
  </si>
  <si>
    <t>melee_attack_nearest_hostile</t>
  </si>
  <si>
    <t>ranged_attack_nearest_hostile</t>
  </si>
  <si>
    <t>shoot_arrow_at_hostile</t>
  </si>
  <si>
    <t>shoot_zombie</t>
  </si>
  <si>
    <t>Combat - Defensive &amp; Tactical</t>
  </si>
  <si>
    <t>defend_from_multiple_hosts</t>
  </si>
  <si>
    <t>defensive_positioning</t>
  </si>
  <si>
    <t>establish_defensive_position</t>
  </si>
  <si>
    <t>kite_and_retreat</t>
  </si>
  <si>
    <t>kite_and_shoot</t>
  </si>
  <si>
    <t>kite_bot1</t>
  </si>
  <si>
    <t>kite_nearest_hostile</t>
  </si>
  <si>
    <t>kite_zombie_nearby</t>
  </si>
  <si>
    <t>kneel_and_defend</t>
  </si>
  <si>
    <t>maintain_line_of_sight</t>
  </si>
  <si>
    <t>panic_retreat_and_block</t>
  </si>
  <si>
    <t>retreat_50_blocks</t>
  </si>
  <si>
    <t>retreat_and_eat</t>
  </si>
  <si>
    <t>retreat_to_safety</t>
  </si>
  <si>
    <t>retreat_while_eating</t>
  </si>
  <si>
    <t>safety_retreat</t>
  </si>
  <si>
    <t>Building &amp; Structures</t>
  </si>
  <si>
    <t>build_2x2_shelter</t>
  </si>
  <si>
    <t>build_2x2_wall</t>
  </si>
  <si>
    <t>build_barricade</t>
  </si>
  <si>
    <t>build_cover</t>
  </si>
  <si>
    <t>build_defensive_pillar</t>
  </si>
  <si>
    <t>build_defensive_structure</t>
  </si>
  <si>
    <t>build_defensive_wall</t>
  </si>
  <si>
    <t>build_pillar_3</t>
  </si>
  <si>
    <t>build_wall_2x2</t>
  </si>
  <si>
    <t>emergency_box</t>
  </si>
  <si>
    <t>full_box</t>
  </si>
  <si>
    <t>place_cover</t>
  </si>
  <si>
    <t>place_defensive_barrier</t>
  </si>
  <si>
    <t>place_oak_plank</t>
  </si>
  <si>
    <t>place_oak_planks</t>
  </si>
  <si>
    <t>place_oak_planks_barrier</t>
  </si>
  <si>
    <t>shelter_with_planks</t>
  </si>
  <si>
    <t>Movement &amp; Scouting</t>
  </si>
  <si>
    <t>establish_patrol_position</t>
  </si>
  <si>
    <t>move_scout_area</t>
  </si>
  <si>
    <t>move_to_coordinate</t>
  </si>
  <si>
    <t>move_to_gathering_point</t>
  </si>
  <si>
    <t>move_to_midpoint</t>
  </si>
  <si>
    <t>move_to_midpoint_with_bot1</t>
  </si>
  <si>
    <t>move_to_player</t>
  </si>
  <si>
    <t>move_to_spawn_midpoint</t>
  </si>
  <si>
    <t>patrol_area</t>
  </si>
  <si>
    <t>scout_random_direction</t>
  </si>
  <si>
    <t>scout_randomly</t>
  </si>
  <si>
    <t>Survival, Gear &amp; Inventory</t>
  </si>
  <si>
    <t>drop_bread</t>
  </si>
  <si>
    <t>drop_bread_for_teammate</t>
  </si>
  <si>
    <t>drop_bread_nearby</t>
  </si>
  <si>
    <t>eat_bread</t>
  </si>
  <si>
    <t>eat_bread_safe</t>
  </si>
  <si>
    <t>eat_bread_until_full</t>
  </si>
  <si>
    <t>eat_food</t>
  </si>
  <si>
    <t>eat_food_if_hungry_or_hurt</t>
  </si>
  <si>
    <t>equip_best_armor</t>
  </si>
  <si>
    <t>equip_best_gear</t>
  </si>
  <si>
    <t>equip_chestplate</t>
  </si>
  <si>
    <t>equip_gear</t>
  </si>
  <si>
    <t>equip_item_in_hand</t>
  </si>
  <si>
    <t>equip_leather_armor</t>
  </si>
  <si>
    <t>equip_leather_tunic</t>
  </si>
  <si>
    <t>pick_up_item</t>
  </si>
  <si>
    <t>wear_armor</t>
  </si>
  <si>
    <t>Teamwork &amp; Utility</t>
  </si>
  <si>
    <t>do_nothing</t>
  </si>
  <si>
    <t>identify_remaining_hostiles</t>
  </si>
  <si>
    <t>new_action</t>
  </si>
  <si>
    <t>report_teammate_death</t>
  </si>
  <si>
    <t>send_bread_to_player</t>
  </si>
  <si>
    <t>send_message</t>
  </si>
  <si>
    <t>Times Made</t>
  </si>
  <si>
    <t>Times Executed</t>
  </si>
  <si>
    <t>Total Times Made</t>
  </si>
  <si>
    <t>Total Times Executed</t>
  </si>
  <si>
    <t>Melee Combat</t>
  </si>
  <si>
    <t>Ranged Combat</t>
  </si>
  <si>
    <t>Kiting &amp; Positioning</t>
  </si>
  <si>
    <t>Retreat &amp; Evade</t>
  </si>
  <si>
    <t>Building Defenses</t>
  </si>
  <si>
    <t>Healing (Eating)</t>
  </si>
  <si>
    <t>Equipment Management</t>
  </si>
  <si>
    <t>Item Management</t>
  </si>
  <si>
    <t>Communication &amp; Utility</t>
  </si>
  <si>
    <t>Skill Category</t>
  </si>
  <si>
    <t>attack_hostile_by_id, attack_nearest_hostile, flank_and_attack_hostile, melee_attack, melee_attack_closest_hostile, melee_attack_forward, melee_attack_nearest_hostile</t>
  </si>
  <si>
    <t>attack_hostile_with_bow, attack_with_bow, bow_attack, ranged_attack_nearest_hostile, shoot_arrow_at_hostile, shoot_zombie</t>
  </si>
  <si>
    <t>defend_from_multiple_hosts, defensive_positioning, establish_defensive_position, kite_and_retreat, kite_and_shoot, kite_bot1, kite_nearest_hostile, kite_zombie_nearby, kneel_and_defend, maintain_line_of_sight</t>
  </si>
  <si>
    <t>panic_retreat_and_block, retreat_50_blocks, retreat_and_eat, retreat_to_safety, retreat_while_eating, safety_retreat</t>
  </si>
  <si>
    <t>build_2x2_shelter, build_2x2_wall, build_barricade, build_cover, build_defensive_pillar, build_defensive_structure, build_defensive_wall, build_pillar_3, build_wall_2x2, emergency_box, full_box, place_cover, place_defensive_barrier, place_oak_plank, place_oak_planks, place_oak_planks_barrier, shelter_with_planks</t>
  </si>
  <si>
    <t>establish_patrol_position, move_scout_area, move_to_coordinate, move_to_gathering_point, move_to_midpoint, move_to_midpoint_with_bot1, move_to_player, move_to_spawn_midpoint, patrol_area, scout_random_direction, scout_randomly</t>
  </si>
  <si>
    <t>Navigation</t>
  </si>
  <si>
    <t>eat_bread, eat_bread_safe, eat_bread_until_full, eat_food, eat_food_if_hungry_or_hurt</t>
  </si>
  <si>
    <t>equip_best_armor, equip_best_gear, equip_chestplate, equip_gear, equip_item_in_hand, equip_leather_armor, equip_leather_tunic, wear_armor</t>
  </si>
  <si>
    <t>drop_bread, drop_bread_for_teammate, drop_bread_nearby, pick_up_item, send_bread_to_player</t>
  </si>
  <si>
    <t>do_nothing, new_action, send_message, identify_remaining_hostiles, report_teammate_death</t>
  </si>
  <si>
    <t>Skills Generated</t>
  </si>
  <si>
    <t>Total Times Generated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</si>
</sst>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1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Avg!$N$5:$AG$5</c:f>
              <c:numCache>
                <c:formatCode>General</c:formatCode>
                <c:ptCount val="20"/>
                <c:pt idx="0">
                  <c:v>89.710999999999999</c:v>
                </c:pt>
                <c:pt idx="1">
                  <c:v>96.240499999999997</c:v>
                </c:pt>
                <c:pt idx="2">
                  <c:v>101.49250000000001</c:v>
                </c:pt>
                <c:pt idx="3">
                  <c:v>107.9105</c:v>
                </c:pt>
                <c:pt idx="4">
                  <c:v>87.985500000000002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430-45FC-86A9-71FFAFE31880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Avg!$N$6:$AG$6</c:f>
              <c:numCache>
                <c:formatCode>General</c:formatCode>
                <c:ptCount val="20"/>
                <c:pt idx="0">
                  <c:v>67.025000000000006</c:v>
                </c:pt>
                <c:pt idx="1">
                  <c:v>56.280999999999999</c:v>
                </c:pt>
                <c:pt idx="2">
                  <c:v>68.4345</c:v>
                </c:pt>
                <c:pt idx="3">
                  <c:v>67.6875</c:v>
                </c:pt>
                <c:pt idx="4">
                  <c:v>56.457000000000001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430-45FC-86A9-71FFAFE31880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Avg!$N$7:$AG$7</c:f>
              <c:numCache>
                <c:formatCode>General</c:formatCode>
                <c:ptCount val="20"/>
                <c:pt idx="0">
                  <c:v>57.430999999999997</c:v>
                </c:pt>
                <c:pt idx="1">
                  <c:v>52.183999999999997</c:v>
                </c:pt>
                <c:pt idx="2">
                  <c:v>126.108</c:v>
                </c:pt>
                <c:pt idx="3">
                  <c:v>79.369</c:v>
                </c:pt>
                <c:pt idx="4">
                  <c:v>102.4435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430-45FC-86A9-71FFAFE31880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Avg!$N$8:$AG$8</c:f>
              <c:numCache>
                <c:formatCode>General</c:formatCode>
                <c:ptCount val="20"/>
                <c:pt idx="0">
                  <c:v>61.046500000000002</c:v>
                </c:pt>
                <c:pt idx="1">
                  <c:v>104.1935</c:v>
                </c:pt>
                <c:pt idx="2">
                  <c:v>83.307000000000002</c:v>
                </c:pt>
                <c:pt idx="3">
                  <c:v>116.7115</c:v>
                </c:pt>
                <c:pt idx="4">
                  <c:v>76.426500000000004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430-45FC-86A9-71FFAFE31880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Avg!$N$9:$AG$9</c:f>
              <c:numCache>
                <c:formatCode>General</c:formatCode>
                <c:ptCount val="20"/>
                <c:pt idx="0">
                  <c:v>104.14</c:v>
                </c:pt>
                <c:pt idx="1">
                  <c:v>78.5535</c:v>
                </c:pt>
                <c:pt idx="2">
                  <c:v>116.32599999999999</c:v>
                </c:pt>
                <c:pt idx="3">
                  <c:v>110.54600000000001</c:v>
                </c:pt>
                <c:pt idx="4">
                  <c:v>73.58</c:v>
                </c:pt>
                <c:pt idx="5">
                  <c:v>73.292500000000004</c:v>
                </c:pt>
                <c:pt idx="6">
                  <c:v>72.772499999999994</c:v>
                </c:pt>
                <c:pt idx="7">
                  <c:v>72.222499999999997</c:v>
                </c:pt>
                <c:pt idx="8">
                  <c:v>49.914000000000001</c:v>
                </c:pt>
                <c:pt idx="9">
                  <c:v>74.210499999999996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430-45FC-86A9-71FFAFE31880}"/>
            </c:ext>
          </c:extLst>
        </c:ser>
        <c:ser>
          <c:idx val="5"/>
          <c:order val="5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Avg!$N$10:$AG$10</c:f>
              <c:numCache>
                <c:formatCode>General</c:formatCode>
                <c:ptCount val="20"/>
                <c:pt idx="0">
                  <c:v>79.465000000000003</c:v>
                </c:pt>
                <c:pt idx="1">
                  <c:v>73.288499999999999</c:v>
                </c:pt>
                <c:pt idx="2">
                  <c:v>56.894500000000001</c:v>
                </c:pt>
                <c:pt idx="3">
                  <c:v>71.935000000000002</c:v>
                </c:pt>
                <c:pt idx="4">
                  <c:v>68.376000000000005</c:v>
                </c:pt>
                <c:pt idx="5">
                  <c:v>76.427000000000007</c:v>
                </c:pt>
                <c:pt idx="6">
                  <c:v>79.4285</c:v>
                </c:pt>
                <c:pt idx="7">
                  <c:v>54.023499999999999</c:v>
                </c:pt>
                <c:pt idx="8">
                  <c:v>82.768000000000001</c:v>
                </c:pt>
                <c:pt idx="9">
                  <c:v>83.742999999999995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430-45FC-86A9-71FFAFE31880}"/>
            </c:ext>
          </c:extLst>
        </c:ser>
        <c:ser>
          <c:idx val="6"/>
          <c:order val="6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Avg!$N$11:$AG$11</c:f>
              <c:numCache>
                <c:formatCode>General</c:formatCode>
                <c:ptCount val="20"/>
                <c:pt idx="0">
                  <c:v>83.448333333333323</c:v>
                </c:pt>
                <c:pt idx="1">
                  <c:v>62.239333333333335</c:v>
                </c:pt>
                <c:pt idx="2">
                  <c:v>72.117000000000004</c:v>
                </c:pt>
                <c:pt idx="3">
                  <c:v>84.421666666666667</c:v>
                </c:pt>
                <c:pt idx="4">
                  <c:v>70.463666666666668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430-45FC-86A9-71FFAFE31880}"/>
            </c:ext>
          </c:extLst>
        </c:ser>
        <c:ser>
          <c:idx val="7"/>
          <c:order val="7"/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Avg!$N$12:$AG$12</c:f>
              <c:numCache>
                <c:formatCode>General</c:formatCode>
                <c:ptCount val="20"/>
                <c:pt idx="0">
                  <c:v>70.073666666666668</c:v>
                </c:pt>
                <c:pt idx="1">
                  <c:v>69.770666666666671</c:v>
                </c:pt>
                <c:pt idx="2">
                  <c:v>79.834999999999994</c:v>
                </c:pt>
                <c:pt idx="3">
                  <c:v>84.599333333333334</c:v>
                </c:pt>
                <c:pt idx="4">
                  <c:v>74.357666666666674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430-45FC-86A9-71FFAFE31880}"/>
            </c:ext>
          </c:extLst>
        </c:ser>
        <c:ser>
          <c:idx val="8"/>
          <c:order val="8"/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Avg!$N$13:$AG$13</c:f>
              <c:numCache>
                <c:formatCode>General</c:formatCode>
                <c:ptCount val="20"/>
                <c:pt idx="0">
                  <c:v>78.373000000000005</c:v>
                </c:pt>
                <c:pt idx="1">
                  <c:v>72.188000000000002</c:v>
                </c:pt>
                <c:pt idx="2">
                  <c:v>54.607500000000002</c:v>
                </c:pt>
                <c:pt idx="3">
                  <c:v>52.419499999999999</c:v>
                </c:pt>
                <c:pt idx="4">
                  <c:v>45.836500000000001</c:v>
                </c:pt>
                <c:pt idx="5">
                  <c:v>52.969499999999996</c:v>
                </c:pt>
                <c:pt idx="6">
                  <c:v>50.595500000000001</c:v>
                </c:pt>
                <c:pt idx="7">
                  <c:v>51.858499999999999</c:v>
                </c:pt>
                <c:pt idx="8">
                  <c:v>54.586500000000001</c:v>
                </c:pt>
                <c:pt idx="9">
                  <c:v>66.89</c:v>
                </c:pt>
                <c:pt idx="10">
                  <c:v>49.914999999999999</c:v>
                </c:pt>
                <c:pt idx="11">
                  <c:v>72.677499999999995</c:v>
                </c:pt>
                <c:pt idx="12">
                  <c:v>48.756500000000003</c:v>
                </c:pt>
                <c:pt idx="13">
                  <c:v>54.339500000000001</c:v>
                </c:pt>
                <c:pt idx="14">
                  <c:v>70.489999999999995</c:v>
                </c:pt>
                <c:pt idx="15">
                  <c:v>51.000999999999998</c:v>
                </c:pt>
                <c:pt idx="16">
                  <c:v>72.5715</c:v>
                </c:pt>
                <c:pt idx="17">
                  <c:v>70.956500000000005</c:v>
                </c:pt>
                <c:pt idx="18">
                  <c:v>49.500999999999998</c:v>
                </c:pt>
                <c:pt idx="19">
                  <c:v>71.867999999999995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430-45FC-86A9-71FFAFE31880}"/>
            </c:ext>
          </c:extLst>
        </c:ser>
        <c:ser>
          <c:idx val="9"/>
          <c:order val="9"/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Avg!$N$14:$AG$14</c:f>
              <c:numCache>
                <c:formatCode>General</c:formatCode>
                <c:ptCount val="20"/>
                <c:pt idx="0">
                  <c:v>69.477999999999994</c:v>
                </c:pt>
                <c:pt idx="1">
                  <c:v>133.75149999999999</c:v>
                </c:pt>
                <c:pt idx="2">
                  <c:v>89.573499999999996</c:v>
                </c:pt>
                <c:pt idx="3">
                  <c:v>119.1575</c:v>
                </c:pt>
                <c:pt idx="4">
                  <c:v>122.113</c:v>
                </c:pt>
                <c:pt idx="5">
                  <c:v>133.059</c:v>
                </c:pt>
                <c:pt idx="6">
                  <c:v>83.44</c:v>
                </c:pt>
                <c:pt idx="7">
                  <c:v>91.129000000000005</c:v>
                </c:pt>
                <c:pt idx="8">
                  <c:v>74.9345</c:v>
                </c:pt>
                <c:pt idx="9">
                  <c:v>91.602500000000006</c:v>
                </c:pt>
                <c:pt idx="10">
                  <c:v>115.74850000000001</c:v>
                </c:pt>
                <c:pt idx="11">
                  <c:v>107.4375</c:v>
                </c:pt>
                <c:pt idx="12">
                  <c:v>93.358999999999995</c:v>
                </c:pt>
                <c:pt idx="13">
                  <c:v>85.480999999999995</c:v>
                </c:pt>
                <c:pt idx="14">
                  <c:v>79.633499999999998</c:v>
                </c:pt>
                <c:pt idx="15">
                  <c:v>85.715000000000003</c:v>
                </c:pt>
                <c:pt idx="16">
                  <c:v>82.707499999999996</c:v>
                </c:pt>
                <c:pt idx="17">
                  <c:v>96.893500000000003</c:v>
                </c:pt>
                <c:pt idx="18">
                  <c:v>74.881</c:v>
                </c:pt>
                <c:pt idx="19">
                  <c:v>69.055499999999995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430-45FC-86A9-71FFAFE31880}"/>
            </c:ext>
          </c:extLst>
        </c:ser>
        <c:ser>
          <c:idx val="10"/>
          <c:order val="10"/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Avg!$N$15:$AG$15</c:f>
              <c:numCache>
                <c:formatCode>General</c:formatCode>
                <c:ptCount val="20"/>
                <c:pt idx="0">
                  <c:v>110.13800000000001</c:v>
                </c:pt>
                <c:pt idx="1">
                  <c:v>62.4495</c:v>
                </c:pt>
                <c:pt idx="2">
                  <c:v>76.096500000000006</c:v>
                </c:pt>
                <c:pt idx="3">
                  <c:v>104.081</c:v>
                </c:pt>
                <c:pt idx="4">
                  <c:v>53.211500000000001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430-45FC-86A9-71FFAFE31880}"/>
            </c:ext>
          </c:extLst>
        </c:ser>
        <c:ser>
          <c:idx val="11"/>
          <c:order val="11"/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Avg!$N$16:$AG$16</c:f>
              <c:numCache>
                <c:formatCode>General</c:formatCode>
                <c:ptCount val="20"/>
                <c:pt idx="0">
                  <c:v>115.57</c:v>
                </c:pt>
                <c:pt idx="1">
                  <c:v>86.8</c:v>
                </c:pt>
                <c:pt idx="2">
                  <c:v>43.249499999999998</c:v>
                </c:pt>
                <c:pt idx="3">
                  <c:v>60.024999999999999</c:v>
                </c:pt>
                <c:pt idx="4">
                  <c:v>71.244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E430-45FC-86A9-71FFAFE31880}"/>
            </c:ext>
          </c:extLst>
        </c:ser>
        <c:ser>
          <c:idx val="12"/>
          <c:order val="12"/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Avg!$N$17:$AG$17</c:f>
              <c:numCache>
                <c:formatCode>General</c:formatCode>
                <c:ptCount val="20"/>
                <c:pt idx="0">
                  <c:v>46.226999999999997</c:v>
                </c:pt>
                <c:pt idx="1">
                  <c:v>50.621000000000002</c:v>
                </c:pt>
                <c:pt idx="2">
                  <c:v>43.706000000000003</c:v>
                </c:pt>
                <c:pt idx="3">
                  <c:v>2.0979999999999999</c:v>
                </c:pt>
                <c:pt idx="4">
                  <c:v>2.1120000000000001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E430-45FC-86A9-71FFAFE31880}"/>
            </c:ext>
          </c:extLst>
        </c:ser>
        <c:ser>
          <c:idx val="13"/>
          <c:order val="13"/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Avg!$N$18:$AG$18</c:f>
              <c:numCache>
                <c:formatCode>General</c:formatCode>
                <c:ptCount val="20"/>
                <c:pt idx="0">
                  <c:v>85.703000000000003</c:v>
                </c:pt>
                <c:pt idx="1">
                  <c:v>49.5685</c:v>
                </c:pt>
                <c:pt idx="2">
                  <c:v>52.825000000000003</c:v>
                </c:pt>
                <c:pt idx="3">
                  <c:v>57.358499999999999</c:v>
                </c:pt>
                <c:pt idx="4">
                  <c:v>56.951000000000001</c:v>
                </c:pt>
                <c:pt idx="5">
                  <c:v>48.637500000000003</c:v>
                </c:pt>
                <c:pt idx="6">
                  <c:v>56.513500000000001</c:v>
                </c:pt>
                <c:pt idx="7">
                  <c:v>53.744</c:v>
                </c:pt>
                <c:pt idx="8">
                  <c:v>68.363500000000002</c:v>
                </c:pt>
                <c:pt idx="9">
                  <c:v>68.741500000000002</c:v>
                </c:pt>
                <c:pt idx="10">
                  <c:v>71.373000000000005</c:v>
                </c:pt>
                <c:pt idx="11">
                  <c:v>53.454500000000003</c:v>
                </c:pt>
                <c:pt idx="12">
                  <c:v>57.222499999999997</c:v>
                </c:pt>
                <c:pt idx="13">
                  <c:v>50.170999999999999</c:v>
                </c:pt>
                <c:pt idx="14">
                  <c:v>57.176000000000002</c:v>
                </c:pt>
                <c:pt idx="15">
                  <c:v>56.173499999999997</c:v>
                </c:pt>
                <c:pt idx="16">
                  <c:v>55.893000000000001</c:v>
                </c:pt>
                <c:pt idx="17">
                  <c:v>59.844999999999999</c:v>
                </c:pt>
                <c:pt idx="18">
                  <c:v>55.307000000000002</c:v>
                </c:pt>
                <c:pt idx="19">
                  <c:v>70.123000000000005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E430-45FC-86A9-71FFAFE31880}"/>
            </c:ext>
          </c:extLst>
        </c:ser>
        <c:ser>
          <c:idx val="14"/>
          <c:order val="14"/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Avg!$N$19:$AG$19</c:f>
              <c:numCache>
                <c:formatCode>General</c:formatCode>
                <c:ptCount val="20"/>
                <c:pt idx="0">
                  <c:v>129.5265</c:v>
                </c:pt>
                <c:pt idx="1">
                  <c:v>129.41399999999999</c:v>
                </c:pt>
                <c:pt idx="2">
                  <c:v>103.476</c:v>
                </c:pt>
                <c:pt idx="3">
                  <c:v>103.4105</c:v>
                </c:pt>
                <c:pt idx="4">
                  <c:v>65.099500000000006</c:v>
                </c:pt>
                <c:pt idx="5">
                  <c:v>89.490499999999997</c:v>
                </c:pt>
                <c:pt idx="6">
                  <c:v>77.120500000000007</c:v>
                </c:pt>
                <c:pt idx="7">
                  <c:v>129.48349999999999</c:v>
                </c:pt>
                <c:pt idx="8">
                  <c:v>102.6645</c:v>
                </c:pt>
                <c:pt idx="9">
                  <c:v>98.215000000000003</c:v>
                </c:pt>
                <c:pt idx="10">
                  <c:v>82.7</c:v>
                </c:pt>
                <c:pt idx="11">
                  <c:v>99.596500000000006</c:v>
                </c:pt>
                <c:pt idx="12">
                  <c:v>79.020499999999998</c:v>
                </c:pt>
                <c:pt idx="13">
                  <c:v>103.375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E430-45FC-86A9-71FFAFE31880}"/>
            </c:ext>
          </c:extLst>
        </c:ser>
        <c:ser>
          <c:idx val="15"/>
          <c:order val="15"/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Avg!$N$20:$AG$20</c:f>
              <c:numCache>
                <c:formatCode>General</c:formatCode>
                <c:ptCount val="20"/>
                <c:pt idx="0">
                  <c:v>131.05500000000001</c:v>
                </c:pt>
                <c:pt idx="1">
                  <c:v>128.001</c:v>
                </c:pt>
                <c:pt idx="2">
                  <c:v>126.3965</c:v>
                </c:pt>
                <c:pt idx="3">
                  <c:v>130.64449999999999</c:v>
                </c:pt>
                <c:pt idx="4">
                  <c:v>130.99549999999999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E430-45FC-86A9-71FFAFE31880}"/>
            </c:ext>
          </c:extLst>
        </c:ser>
        <c:ser>
          <c:idx val="16"/>
          <c:order val="16"/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Avg!$N$21:$AG$21</c:f>
              <c:numCache>
                <c:formatCode>General</c:formatCode>
                <c:ptCount val="20"/>
                <c:pt idx="0">
                  <c:v>125.929</c:v>
                </c:pt>
                <c:pt idx="1">
                  <c:v>73.518500000000003</c:v>
                </c:pt>
                <c:pt idx="2">
                  <c:v>87.246499999999997</c:v>
                </c:pt>
                <c:pt idx="3">
                  <c:v>69.202500000000001</c:v>
                </c:pt>
                <c:pt idx="4">
                  <c:v>85.569500000000005</c:v>
                </c:pt>
                <c:pt idx="5">
                  <c:v>79.155500000000004</c:v>
                </c:pt>
                <c:pt idx="6">
                  <c:v>85.058999999999997</c:v>
                </c:pt>
                <c:pt idx="7">
                  <c:v>70.31</c:v>
                </c:pt>
                <c:pt idx="8">
                  <c:v>68.820499999999996</c:v>
                </c:pt>
                <c:pt idx="9">
                  <c:v>74.923500000000004</c:v>
                </c:pt>
                <c:pt idx="10">
                  <c:v>97.703999999999994</c:v>
                </c:pt>
                <c:pt idx="11">
                  <c:v>93.81</c:v>
                </c:pt>
                <c:pt idx="12">
                  <c:v>74.969499999999996</c:v>
                </c:pt>
                <c:pt idx="13">
                  <c:v>77.105999999999995</c:v>
                </c:pt>
                <c:pt idx="14">
                  <c:v>130.17099999999999</c:v>
                </c:pt>
                <c:pt idx="15">
                  <c:v>87.314499999999995</c:v>
                </c:pt>
                <c:pt idx="16">
                  <c:v>99.206999999999994</c:v>
                </c:pt>
                <c:pt idx="17">
                  <c:v>100.52800000000001</c:v>
                </c:pt>
                <c:pt idx="18">
                  <c:v>100.9975</c:v>
                </c:pt>
                <c:pt idx="19">
                  <c:v>88.398499999999999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E430-45FC-86A9-71FFAFE31880}"/>
            </c:ext>
          </c:extLst>
        </c:ser>
        <c:ser>
          <c:idx val="17"/>
          <c:order val="17"/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Avg!$N$22:$AG$22</c:f>
              <c:numCache>
                <c:formatCode>General</c:formatCode>
                <c:ptCount val="20"/>
                <c:pt idx="0">
                  <c:v>111.965</c:v>
                </c:pt>
                <c:pt idx="1">
                  <c:v>102.167</c:v>
                </c:pt>
                <c:pt idx="2">
                  <c:v>109.64400000000001</c:v>
                </c:pt>
                <c:pt idx="3">
                  <c:v>145.173</c:v>
                </c:pt>
                <c:pt idx="4">
                  <c:v>116.14700000000001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E430-45FC-86A9-71FFAFE31880}"/>
            </c:ext>
          </c:extLst>
        </c:ser>
        <c:ser>
          <c:idx val="18"/>
          <c:order val="18"/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Avg!$N$23:$AG$23</c:f>
              <c:numCache>
                <c:formatCode>General</c:formatCode>
                <c:ptCount val="20"/>
                <c:pt idx="0">
                  <c:v>104.152</c:v>
                </c:pt>
                <c:pt idx="1">
                  <c:v>100.1485</c:v>
                </c:pt>
                <c:pt idx="2">
                  <c:v>129.48249999999999</c:v>
                </c:pt>
                <c:pt idx="3">
                  <c:v>91.960999999999999</c:v>
                </c:pt>
                <c:pt idx="4">
                  <c:v>85.230999999999995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E430-45FC-86A9-71FFAFE31880}"/>
            </c:ext>
          </c:extLst>
        </c:ser>
        <c:ser>
          <c:idx val="19"/>
          <c:order val="19"/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Avg!$N$24:$AG$24</c:f>
              <c:numCache>
                <c:formatCode>General</c:formatCode>
                <c:ptCount val="20"/>
                <c:pt idx="0">
                  <c:v>58.8035</c:v>
                </c:pt>
                <c:pt idx="1">
                  <c:v>76.724999999999994</c:v>
                </c:pt>
                <c:pt idx="2">
                  <c:v>72.086500000000001</c:v>
                </c:pt>
                <c:pt idx="3">
                  <c:v>66.750500000000002</c:v>
                </c:pt>
                <c:pt idx="4">
                  <c:v>56.524500000000003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E430-45FC-86A9-71FFAFE31880}"/>
            </c:ext>
          </c:extLst>
        </c:ser>
        <c:ser>
          <c:idx val="20"/>
          <c:order val="20"/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Avg!$N$25:$AG$25</c:f>
              <c:numCache>
                <c:formatCode>General</c:formatCode>
                <c:ptCount val="20"/>
                <c:pt idx="0">
                  <c:v>53.6175</c:v>
                </c:pt>
                <c:pt idx="1">
                  <c:v>50.859000000000002</c:v>
                </c:pt>
                <c:pt idx="2">
                  <c:v>126.152</c:v>
                </c:pt>
                <c:pt idx="3">
                  <c:v>90.358500000000006</c:v>
                </c:pt>
                <c:pt idx="4">
                  <c:v>70.135999999999996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E430-45FC-86A9-71FFAFE31880}"/>
            </c:ext>
          </c:extLst>
        </c:ser>
        <c:ser>
          <c:idx val="21"/>
          <c:order val="21"/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Avg!$N$26:$AG$26</c:f>
              <c:numCache>
                <c:formatCode>General</c:formatCode>
                <c:ptCount val="20"/>
                <c:pt idx="0">
                  <c:v>50.017499999999998</c:v>
                </c:pt>
                <c:pt idx="1">
                  <c:v>85.247</c:v>
                </c:pt>
                <c:pt idx="2">
                  <c:v>99.953999999999994</c:v>
                </c:pt>
                <c:pt idx="3">
                  <c:v>46.555999999999997</c:v>
                </c:pt>
                <c:pt idx="4">
                  <c:v>86.936000000000007</c:v>
                </c:pt>
                <c:pt idx="5">
                  <c:v>80.388000000000005</c:v>
                </c:pt>
                <c:pt idx="6">
                  <c:v>213.82400000000001</c:v>
                </c:pt>
                <c:pt idx="7">
                  <c:v>55.179000000000002</c:v>
                </c:pt>
                <c:pt idx="8">
                  <c:v>85.3095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E430-45FC-86A9-71FFAFE31880}"/>
            </c:ext>
          </c:extLst>
        </c:ser>
        <c:ser>
          <c:idx val="22"/>
          <c:order val="22"/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Avg!$N$27:$AG$27</c:f>
              <c:numCache>
                <c:formatCode>General</c:formatCode>
                <c:ptCount val="20"/>
                <c:pt idx="0">
                  <c:v>81.227000000000004</c:v>
                </c:pt>
                <c:pt idx="1">
                  <c:v>64.142499999999998</c:v>
                </c:pt>
                <c:pt idx="2">
                  <c:v>75.256500000000003</c:v>
                </c:pt>
                <c:pt idx="3">
                  <c:v>87.006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E430-45FC-86A9-71FFAFE318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7468208"/>
        <c:axId val="1677480208"/>
      </c:lineChart>
      <c:catAx>
        <c:axId val="16774682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a-DK"/>
                  <a:t>Generation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677480208"/>
        <c:crosses val="autoZero"/>
        <c:auto val="1"/>
        <c:lblAlgn val="ctr"/>
        <c:lblOffset val="100"/>
        <c:noMultiLvlLbl val="0"/>
      </c:catAx>
      <c:valAx>
        <c:axId val="1677480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2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a-DK"/>
                  <a:t>Time survived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6774682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qwen3.5:4b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Ref>
                <c:f>'4b vs 9b'!$C$2:$C$21</c:f>
                <c:numCache>
                  <c:formatCode>General</c:formatCode>
                  <c:ptCount val="20"/>
                  <c:pt idx="0">
                    <c:v>25.118000084126745</c:v>
                  </c:pt>
                  <c:pt idx="1">
                    <c:v>28.020145670443195</c:v>
                  </c:pt>
                  <c:pt idx="2">
                    <c:v>24.941260484815697</c:v>
                  </c:pt>
                  <c:pt idx="3">
                    <c:v>21.336815001418611</c:v>
                  </c:pt>
                  <c:pt idx="4">
                    <c:v>17.953741633842295</c:v>
                  </c:pt>
                  <c:pt idx="5">
                    <c:v>17.34874432535873</c:v>
                  </c:pt>
                  <c:pt idx="6">
                    <c:v>12.030281476168101</c:v>
                  </c:pt>
                  <c:pt idx="7">
                    <c:v>33.086177952432038</c:v>
                  </c:pt>
                  <c:pt idx="8">
                    <c:v>21.989843922346665</c:v>
                  </c:pt>
                  <c:pt idx="9">
                    <c:v>13.089539872069606</c:v>
                  </c:pt>
                  <c:pt idx="10">
                    <c:v>13.208220331798451</c:v>
                  </c:pt>
                  <c:pt idx="11">
                    <c:v>25.136739799544412</c:v>
                  </c:pt>
                  <c:pt idx="12">
                    <c:v>11.593959734850429</c:v>
                  </c:pt>
                  <c:pt idx="13">
                    <c:v>26.602694731925183</c:v>
                  </c:pt>
                  <c:pt idx="14">
                    <c:v>51.615259492712035</c:v>
                  </c:pt>
                  <c:pt idx="15">
                    <c:v>22.020012272930273</c:v>
                  </c:pt>
                  <c:pt idx="16">
                    <c:v>30.627623120314119</c:v>
                  </c:pt>
                  <c:pt idx="17">
                    <c:v>28.767225179012311</c:v>
                  </c:pt>
                  <c:pt idx="18">
                    <c:v>32.30806238580395</c:v>
                  </c:pt>
                  <c:pt idx="19">
                    <c:v>12.922729979574749</c:v>
                  </c:pt>
                </c:numCache>
              </c:numRef>
            </c:plus>
            <c:minus>
              <c:numRef>
                <c:f>'4b vs 9b'!$C$2:$C$21</c:f>
                <c:numCache>
                  <c:formatCode>General</c:formatCode>
                  <c:ptCount val="20"/>
                  <c:pt idx="0">
                    <c:v>25.118000084126745</c:v>
                  </c:pt>
                  <c:pt idx="1">
                    <c:v>28.020145670443195</c:v>
                  </c:pt>
                  <c:pt idx="2">
                    <c:v>24.941260484815697</c:v>
                  </c:pt>
                  <c:pt idx="3">
                    <c:v>21.336815001418611</c:v>
                  </c:pt>
                  <c:pt idx="4">
                    <c:v>17.953741633842295</c:v>
                  </c:pt>
                  <c:pt idx="5">
                    <c:v>17.34874432535873</c:v>
                  </c:pt>
                  <c:pt idx="6">
                    <c:v>12.030281476168101</c:v>
                  </c:pt>
                  <c:pt idx="7">
                    <c:v>33.086177952432038</c:v>
                  </c:pt>
                  <c:pt idx="8">
                    <c:v>21.989843922346665</c:v>
                  </c:pt>
                  <c:pt idx="9">
                    <c:v>13.089539872069606</c:v>
                  </c:pt>
                  <c:pt idx="10">
                    <c:v>13.208220331798451</c:v>
                  </c:pt>
                  <c:pt idx="11">
                    <c:v>25.136739799544412</c:v>
                  </c:pt>
                  <c:pt idx="12">
                    <c:v>11.593959734850429</c:v>
                  </c:pt>
                  <c:pt idx="13">
                    <c:v>26.602694731925183</c:v>
                  </c:pt>
                  <c:pt idx="14">
                    <c:v>51.615259492712035</c:v>
                  </c:pt>
                  <c:pt idx="15">
                    <c:v>22.020012272930273</c:v>
                  </c:pt>
                  <c:pt idx="16">
                    <c:v>30.627623120314119</c:v>
                  </c:pt>
                  <c:pt idx="17">
                    <c:v>28.767225179012311</c:v>
                  </c:pt>
                  <c:pt idx="18">
                    <c:v>32.30806238580395</c:v>
                  </c:pt>
                  <c:pt idx="19">
                    <c:v>12.922729979574749</c:v>
                  </c:pt>
                </c:numCache>
              </c:numRef>
            </c:minus>
            <c:spPr>
              <a:noFill/>
              <a:ln w="6350" cap="flat" cmpd="sng" algn="ctr">
                <a:solidFill>
                  <a:schemeClr val="accent1">
                    <a:lumMod val="60000"/>
                    <a:lumOff val="40000"/>
                  </a:schemeClr>
                </a:solidFill>
                <a:round/>
              </a:ln>
              <a:effectLst/>
            </c:spPr>
          </c:errBars>
          <c:val>
            <c:numRef>
              <c:f>'4b vs 9b'!$B$2:$B$21</c:f>
              <c:numCache>
                <c:formatCode>General</c:formatCode>
                <c:ptCount val="20"/>
                <c:pt idx="0">
                  <c:v>100.36835714285715</c:v>
                </c:pt>
                <c:pt idx="1">
                  <c:v>77.418357142857147</c:v>
                </c:pt>
                <c:pt idx="2">
                  <c:v>94.795785714285714</c:v>
                </c:pt>
                <c:pt idx="3">
                  <c:v>90.26828571428571</c:v>
                </c:pt>
                <c:pt idx="4">
                  <c:v>74.977214285714297</c:v>
                </c:pt>
                <c:pt idx="5">
                  <c:v>72.644000000000005</c:v>
                </c:pt>
                <c:pt idx="6">
                  <c:v>72.866375000000005</c:v>
                </c:pt>
                <c:pt idx="7">
                  <c:v>81.44</c:v>
                </c:pt>
                <c:pt idx="8">
                  <c:v>72.440624999999997</c:v>
                </c:pt>
                <c:pt idx="9">
                  <c:v>79.022625000000005</c:v>
                </c:pt>
                <c:pt idx="10">
                  <c:v>83.925666666666672</c:v>
                </c:pt>
                <c:pt idx="11">
                  <c:v>82.287000000000006</c:v>
                </c:pt>
                <c:pt idx="12">
                  <c:v>70.404166666666669</c:v>
                </c:pt>
                <c:pt idx="13">
                  <c:v>76.884</c:v>
                </c:pt>
                <c:pt idx="14">
                  <c:v>93.673500000000004</c:v>
                </c:pt>
                <c:pt idx="15">
                  <c:v>71.744</c:v>
                </c:pt>
                <c:pt idx="16">
                  <c:v>77.55</c:v>
                </c:pt>
                <c:pt idx="17">
                  <c:v>80.186499999999995</c:v>
                </c:pt>
                <c:pt idx="18">
                  <c:v>78.152249999999995</c:v>
                </c:pt>
                <c:pt idx="19">
                  <c:v>79.260750000000002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12-4206-B220-FE1968A1349A}"/>
            </c:ext>
          </c:extLst>
        </c:ser>
        <c:ser>
          <c:idx val="1"/>
          <c:order val="1"/>
          <c:tx>
            <c:v>qwen3.5:9b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Ref>
                <c:f>'4b vs 9b'!$E$2:$E$21</c:f>
                <c:numCache>
                  <c:formatCode>General</c:formatCode>
                  <c:ptCount val="20"/>
                  <c:pt idx="0">
                    <c:v>20.358689951570071</c:v>
                  </c:pt>
                  <c:pt idx="1">
                    <c:v>23.702080332065027</c:v>
                  </c:pt>
                  <c:pt idx="2">
                    <c:v>27.615938295352056</c:v>
                  </c:pt>
                  <c:pt idx="3">
                    <c:v>23.037332613980567</c:v>
                  </c:pt>
                  <c:pt idx="4">
                    <c:v>19.273343551098709</c:v>
                  </c:pt>
                  <c:pt idx="5">
                    <c:v>33.805156959589759</c:v>
                  </c:pt>
                  <c:pt idx="6">
                    <c:v>20.929351807529379</c:v>
                  </c:pt>
                  <c:pt idx="7">
                    <c:v>18.77152303801337</c:v>
                  </c:pt>
                  <c:pt idx="8">
                    <c:v>24.40750971994412</c:v>
                  </c:pt>
                  <c:pt idx="9">
                    <c:v>12.626051147660299</c:v>
                  </c:pt>
                  <c:pt idx="10">
                    <c:v>46.551314279244579</c:v>
                  </c:pt>
                  <c:pt idx="11">
                    <c:v>24.57903171404439</c:v>
                  </c:pt>
                  <c:pt idx="12">
                    <c:v>31.538730207872984</c:v>
                  </c:pt>
                  <c:pt idx="13">
                    <c:v>22.020365826320869</c:v>
                  </c:pt>
                  <c:pt idx="14">
                    <c:v>6.465430853779198</c:v>
                  </c:pt>
                  <c:pt idx="15">
                    <c:v>24.546504802109812</c:v>
                  </c:pt>
                  <c:pt idx="16">
                    <c:v>7.167234334106845</c:v>
                  </c:pt>
                  <c:pt idx="17">
                    <c:v>18.340228583635483</c:v>
                  </c:pt>
                  <c:pt idx="18">
                    <c:v>17.946370106514575</c:v>
                  </c:pt>
                  <c:pt idx="19">
                    <c:v>1.988737822087165</c:v>
                  </c:pt>
                </c:numCache>
              </c:numRef>
            </c:plus>
            <c:minus>
              <c:numRef>
                <c:f>'4b vs 9b'!$E$2:$E$21</c:f>
                <c:numCache>
                  <c:formatCode>General</c:formatCode>
                  <c:ptCount val="20"/>
                  <c:pt idx="0">
                    <c:v>20.358689951570071</c:v>
                  </c:pt>
                  <c:pt idx="1">
                    <c:v>23.702080332065027</c:v>
                  </c:pt>
                  <c:pt idx="2">
                    <c:v>27.615938295352056</c:v>
                  </c:pt>
                  <c:pt idx="3">
                    <c:v>23.037332613980567</c:v>
                  </c:pt>
                  <c:pt idx="4">
                    <c:v>19.273343551098709</c:v>
                  </c:pt>
                  <c:pt idx="5">
                    <c:v>33.805156959589759</c:v>
                  </c:pt>
                  <c:pt idx="6">
                    <c:v>20.929351807529379</c:v>
                  </c:pt>
                  <c:pt idx="7">
                    <c:v>18.77152303801337</c:v>
                  </c:pt>
                  <c:pt idx="8">
                    <c:v>24.40750971994412</c:v>
                  </c:pt>
                  <c:pt idx="9">
                    <c:v>12.626051147660299</c:v>
                  </c:pt>
                  <c:pt idx="10">
                    <c:v>46.551314279244579</c:v>
                  </c:pt>
                  <c:pt idx="11">
                    <c:v>24.57903171404439</c:v>
                  </c:pt>
                  <c:pt idx="12">
                    <c:v>31.538730207872984</c:v>
                  </c:pt>
                  <c:pt idx="13">
                    <c:v>22.020365826320869</c:v>
                  </c:pt>
                  <c:pt idx="14">
                    <c:v>6.465430853779198</c:v>
                  </c:pt>
                  <c:pt idx="15">
                    <c:v>24.546504802109812</c:v>
                  </c:pt>
                  <c:pt idx="16">
                    <c:v>7.167234334106845</c:v>
                  </c:pt>
                  <c:pt idx="17">
                    <c:v>18.340228583635483</c:v>
                  </c:pt>
                  <c:pt idx="18">
                    <c:v>17.946370106514575</c:v>
                  </c:pt>
                  <c:pt idx="19">
                    <c:v>1.988737822087165</c:v>
                  </c:pt>
                </c:numCache>
              </c:numRef>
            </c:minus>
            <c:spPr>
              <a:noFill/>
              <a:ln w="6350" cap="flat" cmpd="sng" algn="ctr">
                <a:solidFill>
                  <a:schemeClr val="accent2">
                    <a:lumMod val="60000"/>
                    <a:lumOff val="40000"/>
                  </a:schemeClr>
                </a:solidFill>
                <a:round/>
              </a:ln>
              <a:effectLst/>
            </c:spPr>
          </c:errBars>
          <c:val>
            <c:numRef>
              <c:f>'4b vs 9b'!$D$2:$D$21</c:f>
              <c:numCache>
                <c:formatCode>General</c:formatCode>
                <c:ptCount val="20"/>
                <c:pt idx="0">
                  <c:v>72.09976923076924</c:v>
                </c:pt>
                <c:pt idx="1">
                  <c:v>78.624076923076927</c:v>
                </c:pt>
                <c:pt idx="2">
                  <c:v>78.415346153846158</c:v>
                </c:pt>
                <c:pt idx="3">
                  <c:v>79.381916666666669</c:v>
                </c:pt>
                <c:pt idx="4">
                  <c:v>73.675152777777782</c:v>
                </c:pt>
                <c:pt idx="5">
                  <c:v>85.710875000000001</c:v>
                </c:pt>
                <c:pt idx="6">
                  <c:v>78.638249999999999</c:v>
                </c:pt>
                <c:pt idx="7">
                  <c:v>63.047499999999999</c:v>
                </c:pt>
                <c:pt idx="8">
                  <c:v>81.424374999999998</c:v>
                </c:pt>
                <c:pt idx="9">
                  <c:v>80.745166666666677</c:v>
                </c:pt>
                <c:pt idx="10">
                  <c:v>82.83175</c:v>
                </c:pt>
                <c:pt idx="11">
                  <c:v>90.057500000000005</c:v>
                </c:pt>
                <c:pt idx="12">
                  <c:v>71.057749999999999</c:v>
                </c:pt>
                <c:pt idx="13">
                  <c:v>69.910250000000005</c:v>
                </c:pt>
                <c:pt idx="14">
                  <c:v>75.061750000000004</c:v>
                </c:pt>
                <c:pt idx="15">
                  <c:v>68.358000000000004</c:v>
                </c:pt>
                <c:pt idx="16">
                  <c:v>77.639499999999998</c:v>
                </c:pt>
                <c:pt idx="17">
                  <c:v>83.924999999999997</c:v>
                </c:pt>
                <c:pt idx="18">
                  <c:v>62.191000000000003</c:v>
                </c:pt>
                <c:pt idx="19">
                  <c:v>70.461749999999995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F12-4206-B220-FE1968A134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7136864"/>
        <c:axId val="1447135904"/>
      </c:lineChart>
      <c:catAx>
        <c:axId val="14471368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da-DK"/>
                  <a:t>Generation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DK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DK"/>
          </a:p>
        </c:txPr>
        <c:crossAx val="1447135904"/>
        <c:crosses val="autoZero"/>
        <c:auto val="1"/>
        <c:lblAlgn val="ctr"/>
        <c:lblOffset val="100"/>
        <c:noMultiLvlLbl val="0"/>
      </c:catAx>
      <c:valAx>
        <c:axId val="1447135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2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da-DK"/>
                  <a:t>Time survived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D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DK"/>
          </a:p>
        </c:txPr>
        <c:crossAx val="1447136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D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Starting tools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Ref>
                <c:f>'4b vs 9b'!$C$26:$C$45</c:f>
                <c:numCache>
                  <c:formatCode>General</c:formatCode>
                  <c:ptCount val="20"/>
                  <c:pt idx="0">
                    <c:v>25.336860913200059</c:v>
                  </c:pt>
                  <c:pt idx="1">
                    <c:v>24.402032970403184</c:v>
                  </c:pt>
                  <c:pt idx="2">
                    <c:v>26.997239545161346</c:v>
                  </c:pt>
                  <c:pt idx="3">
                    <c:v>25.545353964003752</c:v>
                  </c:pt>
                  <c:pt idx="4">
                    <c:v>21.576287987535743</c:v>
                  </c:pt>
                  <c:pt idx="5">
                    <c:v>15.11940524789253</c:v>
                  </c:pt>
                  <c:pt idx="6">
                    <c:v>10.823957280033943</c:v>
                  </c:pt>
                  <c:pt idx="7">
                    <c:v>31.166556965359515</c:v>
                  </c:pt>
                  <c:pt idx="8">
                    <c:v>19.595812350474276</c:v>
                  </c:pt>
                  <c:pt idx="9">
                    <c:v>11.530760103956712</c:v>
                  </c:pt>
                  <c:pt idx="10">
                    <c:v>13.208220331798451</c:v>
                  </c:pt>
                  <c:pt idx="11">
                    <c:v>25.136739799544412</c:v>
                  </c:pt>
                  <c:pt idx="12">
                    <c:v>11.593959734850429</c:v>
                  </c:pt>
                  <c:pt idx="13">
                    <c:v>26.602694731925183</c:v>
                  </c:pt>
                  <c:pt idx="14">
                    <c:v>51.615259492712035</c:v>
                  </c:pt>
                  <c:pt idx="15">
                    <c:v>22.020012272930273</c:v>
                  </c:pt>
                  <c:pt idx="16">
                    <c:v>30.627623120314119</c:v>
                  </c:pt>
                  <c:pt idx="17">
                    <c:v>28.767225179012311</c:v>
                  </c:pt>
                  <c:pt idx="18">
                    <c:v>32.30806238580395</c:v>
                  </c:pt>
                  <c:pt idx="19">
                    <c:v>12.922729979574749</c:v>
                  </c:pt>
                </c:numCache>
              </c:numRef>
            </c:plus>
            <c:minus>
              <c:numRef>
                <c:f>'4b vs 9b'!$C$26:$C$45</c:f>
                <c:numCache>
                  <c:formatCode>General</c:formatCode>
                  <c:ptCount val="20"/>
                  <c:pt idx="0">
                    <c:v>25.336860913200059</c:v>
                  </c:pt>
                  <c:pt idx="1">
                    <c:v>24.402032970403184</c:v>
                  </c:pt>
                  <c:pt idx="2">
                    <c:v>26.997239545161346</c:v>
                  </c:pt>
                  <c:pt idx="3">
                    <c:v>25.545353964003752</c:v>
                  </c:pt>
                  <c:pt idx="4">
                    <c:v>21.576287987535743</c:v>
                  </c:pt>
                  <c:pt idx="5">
                    <c:v>15.11940524789253</c:v>
                  </c:pt>
                  <c:pt idx="6">
                    <c:v>10.823957280033943</c:v>
                  </c:pt>
                  <c:pt idx="7">
                    <c:v>31.166556965359515</c:v>
                  </c:pt>
                  <c:pt idx="8">
                    <c:v>19.595812350474276</c:v>
                  </c:pt>
                  <c:pt idx="9">
                    <c:v>11.530760103956712</c:v>
                  </c:pt>
                  <c:pt idx="10">
                    <c:v>13.208220331798451</c:v>
                  </c:pt>
                  <c:pt idx="11">
                    <c:v>25.136739799544412</c:v>
                  </c:pt>
                  <c:pt idx="12">
                    <c:v>11.593959734850429</c:v>
                  </c:pt>
                  <c:pt idx="13">
                    <c:v>26.602694731925183</c:v>
                  </c:pt>
                  <c:pt idx="14">
                    <c:v>51.615259492712035</c:v>
                  </c:pt>
                  <c:pt idx="15">
                    <c:v>22.020012272930273</c:v>
                  </c:pt>
                  <c:pt idx="16">
                    <c:v>30.627623120314119</c:v>
                  </c:pt>
                  <c:pt idx="17">
                    <c:v>28.767225179012311</c:v>
                  </c:pt>
                  <c:pt idx="18">
                    <c:v>32.30806238580395</c:v>
                  </c:pt>
                  <c:pt idx="19">
                    <c:v>12.922729979574749</c:v>
                  </c:pt>
                </c:numCache>
              </c:numRef>
            </c:minus>
            <c:spPr>
              <a:noFill/>
              <a:ln w="6350" cap="flat" cmpd="sng" algn="ctr">
                <a:solidFill>
                  <a:schemeClr val="accent1">
                    <a:lumMod val="60000"/>
                    <a:lumOff val="40000"/>
                  </a:schemeClr>
                </a:solidFill>
                <a:round/>
              </a:ln>
              <a:effectLst/>
            </c:spPr>
          </c:errBars>
          <c:val>
            <c:numRef>
              <c:f>'4b vs 9b'!$B$26:$B$45</c:f>
              <c:numCache>
                <c:formatCode>General</c:formatCode>
                <c:ptCount val="20"/>
                <c:pt idx="0">
                  <c:v>93.246029411764695</c:v>
                </c:pt>
                <c:pt idx="1">
                  <c:v>82.44370588235293</c:v>
                </c:pt>
                <c:pt idx="2">
                  <c:v>88.530441176470589</c:v>
                </c:pt>
                <c:pt idx="3">
                  <c:v>91.281588235294109</c:v>
                </c:pt>
                <c:pt idx="4">
                  <c:v>78.297843137254901</c:v>
                </c:pt>
                <c:pt idx="5">
                  <c:v>73.400600000000011</c:v>
                </c:pt>
                <c:pt idx="6">
                  <c:v>74.17880000000001</c:v>
                </c:pt>
                <c:pt idx="7">
                  <c:v>75.956699999999998</c:v>
                </c:pt>
                <c:pt idx="8">
                  <c:v>74.506100000000004</c:v>
                </c:pt>
                <c:pt idx="9">
                  <c:v>79.966700000000003</c:v>
                </c:pt>
                <c:pt idx="10">
                  <c:v>83.925666666666672</c:v>
                </c:pt>
                <c:pt idx="11">
                  <c:v>82.287000000000006</c:v>
                </c:pt>
                <c:pt idx="12">
                  <c:v>70.404166666666669</c:v>
                </c:pt>
                <c:pt idx="13">
                  <c:v>76.884</c:v>
                </c:pt>
                <c:pt idx="14">
                  <c:v>93.673500000000004</c:v>
                </c:pt>
                <c:pt idx="15">
                  <c:v>71.744</c:v>
                </c:pt>
                <c:pt idx="16">
                  <c:v>77.55</c:v>
                </c:pt>
                <c:pt idx="17">
                  <c:v>80.186499999999995</c:v>
                </c:pt>
                <c:pt idx="18">
                  <c:v>78.152249999999995</c:v>
                </c:pt>
                <c:pt idx="19">
                  <c:v>79.260750000000002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CA-4510-A333-C9466C15F0A7}"/>
            </c:ext>
          </c:extLst>
        </c:ser>
        <c:ser>
          <c:idx val="1"/>
          <c:order val="1"/>
          <c:tx>
            <c:v>No starting tools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Ref>
                <c:f>'4b vs 9b'!$E$26:$E$45</c:f>
                <c:numCache>
                  <c:formatCode>General</c:formatCode>
                  <c:ptCount val="20"/>
                  <c:pt idx="0">
                    <c:v>15.154405411188735</c:v>
                  </c:pt>
                  <c:pt idx="1">
                    <c:v>31.151015563969455</c:v>
                  </c:pt>
                  <c:pt idx="2">
                    <c:v>30.298833415523891</c:v>
                  </c:pt>
                  <c:pt idx="3">
                    <c:v>29.853069270595949</c:v>
                  </c:pt>
                  <c:pt idx="4">
                    <c:v>32.040350745518275</c:v>
                  </c:pt>
                  <c:pt idx="5">
                    <c:v>40.70285901813287</c:v>
                  </c:pt>
                  <c:pt idx="6">
                    <c:v>25.624994060161928</c:v>
                  </c:pt>
                  <c:pt idx="7">
                    <c:v>21.77766589306577</c:v>
                  </c:pt>
                  <c:pt idx="8">
                    <c:v>29.872834549135106</c:v>
                  </c:pt>
                  <c:pt idx="9">
                    <c:v>17.474376330072555</c:v>
                  </c:pt>
                  <c:pt idx="10">
                    <c:v>46.551314279244579</c:v>
                  </c:pt>
                  <c:pt idx="11">
                    <c:v>24.57903171404439</c:v>
                  </c:pt>
                  <c:pt idx="12">
                    <c:v>31.538730207872984</c:v>
                  </c:pt>
                  <c:pt idx="13">
                    <c:v>22.020365826320869</c:v>
                  </c:pt>
                  <c:pt idx="14">
                    <c:v>6.465430853779198</c:v>
                  </c:pt>
                  <c:pt idx="15">
                    <c:v>24.546504802109812</c:v>
                  </c:pt>
                  <c:pt idx="16">
                    <c:v>7.167234334106845</c:v>
                  </c:pt>
                  <c:pt idx="17">
                    <c:v>18.340228583635483</c:v>
                  </c:pt>
                  <c:pt idx="18">
                    <c:v>17.946370106514575</c:v>
                  </c:pt>
                  <c:pt idx="19">
                    <c:v>1.988737822087165</c:v>
                  </c:pt>
                </c:numCache>
              </c:numRef>
            </c:plus>
            <c:minus>
              <c:numRef>
                <c:f>'4b vs 9b'!$E$26:$E$45</c:f>
                <c:numCache>
                  <c:formatCode>General</c:formatCode>
                  <c:ptCount val="20"/>
                  <c:pt idx="0">
                    <c:v>15.154405411188735</c:v>
                  </c:pt>
                  <c:pt idx="1">
                    <c:v>31.151015563969455</c:v>
                  </c:pt>
                  <c:pt idx="2">
                    <c:v>30.298833415523891</c:v>
                  </c:pt>
                  <c:pt idx="3">
                    <c:v>29.853069270595949</c:v>
                  </c:pt>
                  <c:pt idx="4">
                    <c:v>32.040350745518275</c:v>
                  </c:pt>
                  <c:pt idx="5">
                    <c:v>40.70285901813287</c:v>
                  </c:pt>
                  <c:pt idx="6">
                    <c:v>25.624994060161928</c:v>
                  </c:pt>
                  <c:pt idx="7">
                    <c:v>21.77766589306577</c:v>
                  </c:pt>
                  <c:pt idx="8">
                    <c:v>29.872834549135106</c:v>
                  </c:pt>
                  <c:pt idx="9">
                    <c:v>17.474376330072555</c:v>
                  </c:pt>
                  <c:pt idx="10">
                    <c:v>46.551314279244579</c:v>
                  </c:pt>
                  <c:pt idx="11">
                    <c:v>24.57903171404439</c:v>
                  </c:pt>
                  <c:pt idx="12">
                    <c:v>31.538730207872984</c:v>
                  </c:pt>
                  <c:pt idx="13">
                    <c:v>22.020365826320869</c:v>
                  </c:pt>
                  <c:pt idx="14">
                    <c:v>6.465430853779198</c:v>
                  </c:pt>
                  <c:pt idx="15">
                    <c:v>24.546504802109812</c:v>
                  </c:pt>
                  <c:pt idx="16">
                    <c:v>7.167234334106845</c:v>
                  </c:pt>
                  <c:pt idx="17">
                    <c:v>18.340228583635483</c:v>
                  </c:pt>
                  <c:pt idx="18">
                    <c:v>17.946370106514575</c:v>
                  </c:pt>
                  <c:pt idx="19">
                    <c:v>1.988737822087165</c:v>
                  </c:pt>
                </c:numCache>
              </c:numRef>
            </c:minus>
            <c:spPr>
              <a:noFill/>
              <a:ln w="6350" cap="flat" cmpd="sng" algn="ctr">
                <a:solidFill>
                  <a:schemeClr val="accent2">
                    <a:lumMod val="60000"/>
                    <a:lumOff val="40000"/>
                  </a:schemeClr>
                </a:solidFill>
                <a:round/>
              </a:ln>
              <a:effectLst/>
            </c:spPr>
          </c:errBars>
          <c:val>
            <c:numRef>
              <c:f>'4b vs 9b'!$D$26:$D$45</c:f>
              <c:numCache>
                <c:formatCode>General</c:formatCode>
                <c:ptCount val="20"/>
                <c:pt idx="0">
                  <c:v>63.156666666666666</c:v>
                </c:pt>
                <c:pt idx="1">
                  <c:v>76.134833333333333</c:v>
                </c:pt>
                <c:pt idx="2">
                  <c:v>81.541583333333335</c:v>
                </c:pt>
                <c:pt idx="3">
                  <c:v>79.099500000000006</c:v>
                </c:pt>
                <c:pt idx="4">
                  <c:v>81.255375000000001</c:v>
                </c:pt>
                <c:pt idx="5">
                  <c:v>88.805499999999995</c:v>
                </c:pt>
                <c:pt idx="6">
                  <c:v>78.374833333333328</c:v>
                </c:pt>
                <c:pt idx="7">
                  <c:v>66.055499999999995</c:v>
                </c:pt>
                <c:pt idx="8">
                  <c:v>80.976500000000001</c:v>
                </c:pt>
                <c:pt idx="9">
                  <c:v>79.246250000000003</c:v>
                </c:pt>
                <c:pt idx="10">
                  <c:v>82.83175</c:v>
                </c:pt>
                <c:pt idx="11">
                  <c:v>90.057500000000005</c:v>
                </c:pt>
                <c:pt idx="12">
                  <c:v>71.057749999999999</c:v>
                </c:pt>
                <c:pt idx="13">
                  <c:v>69.910250000000005</c:v>
                </c:pt>
                <c:pt idx="14">
                  <c:v>75.061750000000004</c:v>
                </c:pt>
                <c:pt idx="15">
                  <c:v>68.358000000000004</c:v>
                </c:pt>
                <c:pt idx="16">
                  <c:v>77.639499999999998</c:v>
                </c:pt>
                <c:pt idx="17">
                  <c:v>83.924999999999997</c:v>
                </c:pt>
                <c:pt idx="18">
                  <c:v>62.191000000000003</c:v>
                </c:pt>
                <c:pt idx="19">
                  <c:v>70.461749999999995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DCA-4510-A333-C9466C15F0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7136864"/>
        <c:axId val="1447135904"/>
      </c:lineChart>
      <c:catAx>
        <c:axId val="14471368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da-DK"/>
                  <a:t>Generation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DK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DK"/>
          </a:p>
        </c:txPr>
        <c:crossAx val="1447135904"/>
        <c:crosses val="autoZero"/>
        <c:auto val="1"/>
        <c:lblAlgn val="ctr"/>
        <c:lblOffset val="100"/>
        <c:noMultiLvlLbl val="0"/>
      </c:catAx>
      <c:valAx>
        <c:axId val="1447135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2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da-DK"/>
                  <a:t>Time survived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D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DK"/>
          </a:p>
        </c:txPr>
        <c:crossAx val="1447136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D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Skills generated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Ref>
                <c:f>'4b vs 9b'!$C$50:$C$69</c:f>
                <c:numCache>
                  <c:formatCode>General</c:formatCode>
                  <c:ptCount val="20"/>
                  <c:pt idx="0">
                    <c:v>1.2110601416389963</c:v>
                  </c:pt>
                  <c:pt idx="1">
                    <c:v>0.51639777949432275</c:v>
                  </c:pt>
                  <c:pt idx="2">
                    <c:v>1.2110601416389966</c:v>
                  </c:pt>
                  <c:pt idx="3">
                    <c:v>0.54772255750516607</c:v>
                  </c:pt>
                  <c:pt idx="4">
                    <c:v>2.0816659994661326</c:v>
                  </c:pt>
                  <c:pt idx="5">
                    <c:v>0.57735026918962584</c:v>
                  </c:pt>
                  <c:pt idx="6">
                    <c:v>4.0414518843273806</c:v>
                  </c:pt>
                  <c:pt idx="7">
                    <c:v>0.57735026918962584</c:v>
                  </c:pt>
                  <c:pt idx="8">
                    <c:v>1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0.70710678118654757</c:v>
                  </c:pt>
                  <c:pt idx="14">
                    <c:v>0</c:v>
                  </c:pt>
                  <c:pt idx="15">
                    <c:v>0.70710678118654757</c:v>
                  </c:pt>
                  <c:pt idx="16">
                    <c:v>1.4142135623730951</c:v>
                  </c:pt>
                  <c:pt idx="17">
                    <c:v>0</c:v>
                  </c:pt>
                  <c:pt idx="18">
                    <c:v>0.70710678118654757</c:v>
                  </c:pt>
                  <c:pt idx="19">
                    <c:v>0</c:v>
                  </c:pt>
                </c:numCache>
              </c:numRef>
            </c:plus>
            <c:minus>
              <c:numRef>
                <c:f>'4b vs 9b'!$C$50:$C$69</c:f>
                <c:numCache>
                  <c:formatCode>General</c:formatCode>
                  <c:ptCount val="20"/>
                  <c:pt idx="0">
                    <c:v>1.2110601416389963</c:v>
                  </c:pt>
                  <c:pt idx="1">
                    <c:v>0.51639777949432275</c:v>
                  </c:pt>
                  <c:pt idx="2">
                    <c:v>1.2110601416389966</c:v>
                  </c:pt>
                  <c:pt idx="3">
                    <c:v>0.54772255750516607</c:v>
                  </c:pt>
                  <c:pt idx="4">
                    <c:v>2.0816659994661326</c:v>
                  </c:pt>
                  <c:pt idx="5">
                    <c:v>0.57735026918962584</c:v>
                  </c:pt>
                  <c:pt idx="6">
                    <c:v>4.0414518843273806</c:v>
                  </c:pt>
                  <c:pt idx="7">
                    <c:v>0.57735026918962584</c:v>
                  </c:pt>
                  <c:pt idx="8">
                    <c:v>1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0.70710678118654757</c:v>
                  </c:pt>
                  <c:pt idx="14">
                    <c:v>0</c:v>
                  </c:pt>
                  <c:pt idx="15">
                    <c:v>0.70710678118654757</c:v>
                  </c:pt>
                  <c:pt idx="16">
                    <c:v>1.4142135623730951</c:v>
                  </c:pt>
                  <c:pt idx="17">
                    <c:v>0</c:v>
                  </c:pt>
                  <c:pt idx="18">
                    <c:v>0.70710678118654757</c:v>
                  </c:pt>
                  <c:pt idx="19">
                    <c:v>0</c:v>
                  </c:pt>
                </c:numCache>
              </c:numRef>
            </c:minus>
            <c:spPr>
              <a:noFill/>
              <a:ln w="6350" cap="flat" cmpd="sng" algn="ctr">
                <a:solidFill>
                  <a:schemeClr val="accent1">
                    <a:lumMod val="60000"/>
                    <a:lumOff val="40000"/>
                  </a:schemeClr>
                </a:solidFill>
                <a:round/>
              </a:ln>
              <a:effectLst/>
            </c:spPr>
          </c:errBars>
          <c:val>
            <c:numRef>
              <c:f>'4b vs 9b'!$B$50:$B$69</c:f>
              <c:numCache>
                <c:formatCode>General</c:formatCode>
                <c:ptCount val="20"/>
                <c:pt idx="0">
                  <c:v>3.6666666666666665</c:v>
                </c:pt>
                <c:pt idx="1">
                  <c:v>2.3333333333333335</c:v>
                </c:pt>
                <c:pt idx="2">
                  <c:v>1.6666666666666667</c:v>
                </c:pt>
                <c:pt idx="3">
                  <c:v>0.6</c:v>
                </c:pt>
                <c:pt idx="4">
                  <c:v>2.5</c:v>
                </c:pt>
                <c:pt idx="5">
                  <c:v>1.3333333333333333</c:v>
                </c:pt>
                <c:pt idx="6">
                  <c:v>3.3333333333333335</c:v>
                </c:pt>
                <c:pt idx="7">
                  <c:v>0.33333333333333331</c:v>
                </c:pt>
                <c:pt idx="8">
                  <c:v>1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0.5</c:v>
                </c:pt>
                <c:pt idx="14">
                  <c:v>0</c:v>
                </c:pt>
                <c:pt idx="15">
                  <c:v>1.5</c:v>
                </c:pt>
                <c:pt idx="16">
                  <c:v>1</c:v>
                </c:pt>
                <c:pt idx="17">
                  <c:v>0</c:v>
                </c:pt>
                <c:pt idx="18">
                  <c:v>0.5</c:v>
                </c:pt>
                <c:pt idx="1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110-481B-9655-24482031FD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7136864"/>
        <c:axId val="1447135904"/>
      </c:lineChart>
      <c:catAx>
        <c:axId val="14471368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da-DK"/>
                  <a:t>Generation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DK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DK"/>
          </a:p>
        </c:txPr>
        <c:crossAx val="1447135904"/>
        <c:crosses val="autoZero"/>
        <c:auto val="1"/>
        <c:lblAlgn val="ctr"/>
        <c:lblOffset val="100"/>
        <c:noMultiLvlLbl val="0"/>
      </c:catAx>
      <c:valAx>
        <c:axId val="144713590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2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da-DK"/>
                  <a:t>Amount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D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DK"/>
          </a:p>
        </c:txPr>
        <c:crossAx val="1447136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D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28</xdr:row>
      <xdr:rowOff>4762</xdr:rowOff>
    </xdr:from>
    <xdr:to>
      <xdr:col>22</xdr:col>
      <xdr:colOff>304800</xdr:colOff>
      <xdr:row>42</xdr:row>
      <xdr:rowOff>80962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21938BD-95C8-CBD9-2A8D-3C66E63D99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52387</xdr:colOff>
      <xdr:row>2</xdr:row>
      <xdr:rowOff>80962</xdr:rowOff>
    </xdr:from>
    <xdr:to>
      <xdr:col>14</xdr:col>
      <xdr:colOff>357187</xdr:colOff>
      <xdr:row>16</xdr:row>
      <xdr:rowOff>157162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57704C1-A274-A07E-9544-67239C182B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610913</xdr:colOff>
      <xdr:row>26</xdr:row>
      <xdr:rowOff>0</xdr:rowOff>
    </xdr:from>
    <xdr:to>
      <xdr:col>14</xdr:col>
      <xdr:colOff>304800</xdr:colOff>
      <xdr:row>40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634F8B6-6AB5-49D4-BE07-92898F8F7C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610913</xdr:colOff>
      <xdr:row>48</xdr:row>
      <xdr:rowOff>0</xdr:rowOff>
    </xdr:from>
    <xdr:to>
      <xdr:col>14</xdr:col>
      <xdr:colOff>304800</xdr:colOff>
      <xdr:row>62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6CD4EAE-1B28-4C13-9D12-DEAB838035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5BD9402-DC31-4CB2-A99C-3DD95A76ECFF}" name="Table1" displayName="Table1" ref="A1:H401" totalsRowShown="0">
  <autoFilter ref="A1:H401" xr:uid="{15BD9402-DC31-4CB2-A99C-3DD95A76ECFF}">
    <filterColumn colId="6">
      <filters>
        <filter val="145072"/>
        <filter val="150037"/>
        <filter val="163829"/>
        <filter val="300000"/>
      </filters>
    </filterColumn>
  </autoFilter>
  <tableColumns count="8">
    <tableColumn id="10" xr3:uid="{DD9F8805-BFDD-4246-99B3-62D4B10BB6E0}" name="ID" dataDxfId="5">
      <calculatedColumnFormula>Table1[[#This Row],[Lineage]]&amp;"-"&amp;Table1[[#This Row],[Lineage]]</calculatedColumnFormula>
    </tableColumn>
    <tableColumn id="1" xr3:uid="{26BB4830-CB86-4F32-9D74-831E5B86DEAB}" name="Lineage"/>
    <tableColumn id="2" xr3:uid="{246548F9-8846-4051-85A3-A3C91C30685B}" name="Gen"/>
    <tableColumn id="3" xr3:uid="{ADD2BF6B-2945-4656-8F97-AC73149A9432}" name="Bot"/>
    <tableColumn id="4" xr3:uid="{DC22A509-9F5B-4956-B38E-33E7FD062FDA}" name="Model"/>
    <tableColumn id="5" xr3:uid="{9EC26A3E-EA53-466D-83F4-B8603C773361}" name="Reason"/>
    <tableColumn id="6" xr3:uid="{70B8A2C1-6930-41BE-9A8D-730889C01F4A}" name="Survival"/>
    <tableColumn id="7" xr3:uid="{36BE930A-30E2-4813-AA99-C0981D7FE932}" name="Note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CC72D5E-ED0F-4F4E-B589-1BD47762F0AF}" name="Table15" displayName="Table15" ref="A1:I196" totalsRowShown="0">
  <autoFilter ref="A1:I196" xr:uid="{BCC72D5E-ED0F-4F4E-B589-1BD47762F0AF}"/>
  <tableColumns count="9">
    <tableColumn id="3" xr3:uid="{9EDC2FB3-D001-44AC-A1F4-D6BD5F547634}" name="ID" dataDxfId="4">
      <calculatedColumnFormula>Table15[[#This Row],[Lineage]]&amp;"-"&amp;Table15[[#This Row],[Gen]]</calculatedColumnFormula>
    </tableColumn>
    <tableColumn id="1" xr3:uid="{233B4C39-DCD5-4F79-BCB7-42D34C8BAB27}" name="Lineage"/>
    <tableColumn id="2" xr3:uid="{E0233BE7-5907-41B2-A9E0-63138C1D98C4}" name="Gen"/>
    <tableColumn id="4" xr3:uid="{7B505566-9033-4DCD-8FFE-2D4EB1AB649C}" name="Model"/>
    <tableColumn id="5" xr3:uid="{C7C74056-2AB3-4A65-ABBA-6F07722608FF}" name="Reason"/>
    <tableColumn id="6" xr3:uid="{37D929B3-F0C9-4EB4-834A-FA0CBCDD338D}" name="Survival" dataDxfId="3">
      <calculatedColumnFormula>SUMIFS(Table1[Survival],Table1[Lineage],"="&amp;Table15[[#This Row],[Lineage]],Table1[Gen],"="&amp;Table15[[#This Row],[Gen]])/COUNTIFS(Table1[Lineage],"="&amp;Table15[[#This Row],[Lineage]],Table1[Gen],"="&amp;Table15[[#This Row],[Gen]])</calculatedColumnFormula>
    </tableColumn>
    <tableColumn id="7" xr3:uid="{799611C2-371D-4F17-9BA5-F8FBECB2A559}" name="Note"/>
    <tableColumn id="8" xr3:uid="{7DB1A800-8B75-431B-B6C0-791CBB0DB082}" name="SkillsGen" dataDxfId="2">
      <calculatedColumnFormula>IFERROR(VALUE(VLOOKUP(Table15[[#This Row],[ID]],Skills!A:D,4,FALSE)),0)</calculatedColumnFormula>
    </tableColumn>
    <tableColumn id="9" xr3:uid="{715A4374-297E-4012-B730-448B7591B4CE}" name="StartingSkills" dataDxfId="1"/>
  </tableColumns>
  <tableStyleInfo name="TableStyleLight1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F835653-FCCF-462B-9599-3B52AA1F7DE3}" name="Table7" displayName="Table7" ref="A1:E21" totalsRowShown="0">
  <autoFilter ref="A1:E21" xr:uid="{CF835653-FCCF-462B-9599-3B52AA1F7DE3}"/>
  <tableColumns count="5">
    <tableColumn id="1" xr3:uid="{15D7CE68-9FEF-4D6A-BD8A-DC419F2953EF}" name="Generation"/>
    <tableColumn id="2" xr3:uid="{1205B23D-80C8-4B78-AE29-938B10B852BD}" name="qwen3.5:4b average survival time (s)" dataDxfId="15">
      <calculatedColumnFormula>AVERAGEIFS(Table15[Survival],Table15[Model],"=qwen3.5:4b",Table15[Gen],"="&amp;Table7[[#This Row],[Generation]])/1000</calculatedColumnFormula>
    </tableColumn>
    <tableColumn id="3" xr3:uid="{B0C67B7F-2263-4203-B3B5-E41CA7FA630D}" name="qwen3.5:4b average survival time std" dataDxfId="14">
      <calculatedColumnFormula array="1">_xlfn.STDEV.S(_xlfn._xlws.FILTER(Table15[Survival],(Table15[Model]="qwen3.5:4b")*(Table15[Gen]=Table7[[#This Row],[Generation]])))/1000</calculatedColumnFormula>
    </tableColumn>
    <tableColumn id="4" xr3:uid="{49075142-FAF9-410C-8E1D-09E9846D2035}" name="qwen3.5:9b average survival time (s)" dataDxfId="13">
      <calculatedColumnFormula>AVERAGEIFS(Table15[Survival],Table15[Model],"=qwen3.5:9b",Table15[Gen],"="&amp;Table7[[#This Row],[Generation]])/1000</calculatedColumnFormula>
    </tableColumn>
    <tableColumn id="5" xr3:uid="{EEDC480E-45AC-49E2-962C-18F5A8C0A46B}" name="qwen3.5:9b average survival time std" dataDxfId="12">
      <calculatedColumnFormula array="1">_xlfn.STDEV.S(_xlfn._xlws.FILTER(Table15[Survival],(Table15[Model]="qwen3.5:9b")*(Table15[Gen]=Table7[[#This Row],[Generation]])))/1000</calculatedColumnFormula>
    </tableColumn>
  </tableColumns>
  <tableStyleInfo name="TableStyleLight1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64F8400-C59B-4C79-A7F1-71DCFB0B2906}" name="Table74" displayName="Table74" ref="A25:E45" totalsRowShown="0">
  <autoFilter ref="A25:E45" xr:uid="{D64F8400-C59B-4C79-A7F1-71DCFB0B2906}"/>
  <tableColumns count="5">
    <tableColumn id="1" xr3:uid="{EEBB930D-AF1D-4F9F-B97B-6C0CD8A06222}" name="Generation"/>
    <tableColumn id="2" xr3:uid="{4A7BB139-6768-4020-BF3C-69095ADFE73C}" name="Tools average survival time (s)" dataDxfId="11">
      <calculatedColumnFormula>AVERAGEIFS(Table15[Survival],Table15[StartingSkills],TRUE,Table15[Gen],"="&amp;Table74[[#This Row],[Generation]])/1000</calculatedColumnFormula>
    </tableColumn>
    <tableColumn id="3" xr3:uid="{E564991F-0453-4A61-ABBC-7EB75A11BCF0}" name="Tools average survival time std" dataDxfId="10">
      <calculatedColumnFormula array="1">_xlfn.STDEV.S(_xlfn._xlws.FILTER(Table15[Survival],(Table15[StartingSkills]=TRUE)*(Table15[Gen]=Table74[[#This Row],[Generation]])))/1000</calculatedColumnFormula>
    </tableColumn>
    <tableColumn id="4" xr3:uid="{63F9335F-0FAC-4CE3-9A6A-FAB64ED19638}" name="No tools average survival time (s)" dataDxfId="9">
      <calculatedColumnFormula>AVERAGEIFS(Table15[Survival],Table15[StartingSkills],FALSE,Table15[Gen],"="&amp;Table74[[#This Row],[Generation]])/1000</calculatedColumnFormula>
    </tableColumn>
    <tableColumn id="5" xr3:uid="{F7500CC9-F55B-4A27-A32E-3E4CAEE18B12}" name="No tools average survival time std" dataDxfId="8">
      <calculatedColumnFormula array="1">_xlfn.STDEV.S(_xlfn._xlws.FILTER(Table15[Survival],(Table15[StartingSkills]=FALSE)*(Table15[Gen]=Table74[[#This Row],[Generation]])))/1000</calculatedColumnFormula>
    </tableColumn>
  </tableColumns>
  <tableStyleInfo name="TableStyleLight1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A67CE2B-2962-4E07-A6FC-B870AFED34AF}" name="Table746" displayName="Table746" ref="A49:C69" totalsRowShown="0">
  <autoFilter ref="A49:C69" xr:uid="{CA67CE2B-2962-4E07-A6FC-B870AFED34AF}"/>
  <tableColumns count="3">
    <tableColumn id="1" xr3:uid="{18FDA9AC-734F-4D66-9E1E-B4CADBA96B9A}" name="Generation"/>
    <tableColumn id="2" xr3:uid="{DA6E2523-1A08-40F0-950E-273A81887CD1}" name="Skills generated" dataDxfId="7">
      <calculatedColumnFormula>AVERAGEIFS(Table15[SkillsGen],Table15[StartingSkills],FALSE,Table15[Gen],"="&amp;Table746[[#This Row],[Generation]])</calculatedColumnFormula>
    </tableColumn>
    <tableColumn id="3" xr3:uid="{3B11CC97-6F14-4E77-BCC3-0E55FA61A3BF}" name="Skills generated std" dataDxfId="6">
      <calculatedColumnFormula array="1">_xlfn.STDEV.S(_xlfn._xlws.FILTER(Table15[SkillsGen],(Table15[StartingSkills]=FALSE)*(Table15[Gen]=Table746[[#This Row],[Generation]])))</calculatedColumnFormula>
    </tableColumn>
  </tableColumns>
  <tableStyleInfo name="TableStyleLight14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626BEA3-EB2C-44C6-9B21-B0F5D998D828}" name="Table2" displayName="Table2" ref="A1:E55" totalsRowShown="0">
  <autoFilter ref="A1:E55" xr:uid="{2626BEA3-EB2C-44C6-9B21-B0F5D998D828}"/>
  <tableColumns count="5">
    <tableColumn id="6" xr3:uid="{D8D3964E-53F8-421A-A3A4-8F3C051F097D}" name="ID" dataDxfId="0">
      <calculatedColumnFormula>Table2[[#This Row],[Lineage]]&amp;"-"&amp;Table2[[#This Row],[Gen]]</calculatedColumnFormula>
    </tableColumn>
    <tableColumn id="4" xr3:uid="{A992CE6C-B5B5-461E-A449-8CF496BAB51D}" name="Lineage"/>
    <tableColumn id="5" xr3:uid="{38B6E072-5837-4FA6-AE7F-A27358E6F6E9}" name="Gen"/>
    <tableColumn id="3" xr3:uid="{5A9FCAFA-E7AE-418D-8760-82AE511E2F3D}" name="Skills generated"/>
    <tableColumn id="1" xr3:uid="{9C6BD9CD-0C27-408E-96EB-ED2D8EE72E6D}" name="Note"/>
  </tableColumns>
  <tableStyleInfo name="TableStyleLight14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0539E32-C9FE-4D42-A904-59C852E4B396}" name="Table6" displayName="Table6" ref="K5:N85" totalsRowShown="0">
  <autoFilter ref="K5:N85" xr:uid="{20539E32-C9FE-4D42-A904-59C852E4B396}"/>
  <tableColumns count="4">
    <tableColumn id="1" xr3:uid="{0E034EC9-3EC5-48F4-8EF0-AC53A84253D6}" name="Skill Name"/>
    <tableColumn id="2" xr3:uid="{39D9152B-C0E0-4FCC-BC30-4EE32A58EA9D}" name="Skill Category"/>
    <tableColumn id="3" xr3:uid="{4D52216D-4DCF-4F67-972E-C2F9B508D765}" name="Total Times Generated"/>
    <tableColumn id="4" xr3:uid="{4056D7AA-A7A8-4D7C-B66A-239720596B4B}" name="Total Times Executed"/>
  </tableColumns>
  <tableStyleInfo name="TableStyleLight14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462977F-353E-499F-8E2C-C263E7F002D3}" name="Table69" displayName="Table69" ref="K5:N78" totalsRowShown="0">
  <autoFilter ref="K5:N78" xr:uid="{20539E32-C9FE-4D42-A904-59C852E4B396}"/>
  <tableColumns count="4">
    <tableColumn id="1" xr3:uid="{C74A053E-041A-428A-9D2D-C5A06FD65071}" name="Skill Name"/>
    <tableColumn id="2" xr3:uid="{643735C6-5246-4784-BB5C-1C4CB11CBAC4}" name="Skill Category"/>
    <tableColumn id="3" xr3:uid="{AB168BED-B06A-4643-B52B-9C33FE96BF73}" name="Total Times Generated"/>
    <tableColumn id="4" xr3:uid="{14437C4F-BA4B-4916-A217-E61548D1A115}" name="Total Times Executed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drawing" Target="../drawings/drawing2.xml"/><Relationship Id="rId4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01"/>
  <sheetViews>
    <sheetView workbookViewId="0">
      <selection activeCell="G393" sqref="G393"/>
    </sheetView>
  </sheetViews>
  <sheetFormatPr defaultRowHeight="15" x14ac:dyDescent="0.25"/>
  <cols>
    <col min="1" max="1" width="10" customWidth="1"/>
    <col min="4" max="4" width="11.28515625" customWidth="1"/>
    <col min="5" max="5" width="9.5703125" customWidth="1"/>
    <col min="6" max="6" width="10.140625" customWidth="1"/>
  </cols>
  <sheetData>
    <row r="1" spans="1:19" x14ac:dyDescent="0.25">
      <c r="A1" t="s">
        <v>63</v>
      </c>
      <c r="B1" t="s">
        <v>3</v>
      </c>
      <c r="C1" t="s">
        <v>7</v>
      </c>
      <c r="D1" t="s">
        <v>0</v>
      </c>
      <c r="E1" t="s">
        <v>1</v>
      </c>
      <c r="F1" t="s">
        <v>2</v>
      </c>
      <c r="G1" t="s">
        <v>6</v>
      </c>
      <c r="H1" t="s">
        <v>14</v>
      </c>
    </row>
    <row r="2" spans="1:19" hidden="1" x14ac:dyDescent="0.25">
      <c r="A2" t="str">
        <f>Table1[[#This Row],[Lineage]]&amp;"-"&amp;Table1[[#This Row],[Lineage]]</f>
        <v>1-1</v>
      </c>
      <c r="B2">
        <v>1</v>
      </c>
      <c r="C2">
        <v>1</v>
      </c>
      <c r="D2">
        <v>1</v>
      </c>
      <c r="E2" t="s">
        <v>4</v>
      </c>
      <c r="F2" t="s">
        <v>5</v>
      </c>
      <c r="G2">
        <v>80596</v>
      </c>
      <c r="H2" t="s">
        <v>10</v>
      </c>
    </row>
    <row r="3" spans="1:19" hidden="1" x14ac:dyDescent="0.25">
      <c r="A3" t="str">
        <f>Table1[[#This Row],[Lineage]]&amp;"-"&amp;Table1[[#This Row],[Lineage]]</f>
        <v>1-1</v>
      </c>
      <c r="B3">
        <v>1</v>
      </c>
      <c r="C3">
        <v>2</v>
      </c>
      <c r="D3">
        <v>1</v>
      </c>
      <c r="E3" t="s">
        <v>4</v>
      </c>
      <c r="F3" t="s">
        <v>5</v>
      </c>
      <c r="G3">
        <v>85777</v>
      </c>
      <c r="H3" t="s">
        <v>10</v>
      </c>
    </row>
    <row r="4" spans="1:19" hidden="1" x14ac:dyDescent="0.25">
      <c r="A4" t="str">
        <f>Table1[[#This Row],[Lineage]]&amp;"-"&amp;Table1[[#This Row],[Lineage]]</f>
        <v>1-1</v>
      </c>
      <c r="B4">
        <v>1</v>
      </c>
      <c r="C4">
        <v>3</v>
      </c>
      <c r="D4">
        <v>1</v>
      </c>
      <c r="E4" t="s">
        <v>4</v>
      </c>
      <c r="F4" t="s">
        <v>5</v>
      </c>
      <c r="G4">
        <v>102516</v>
      </c>
      <c r="H4" t="s">
        <v>10</v>
      </c>
    </row>
    <row r="5" spans="1:19" hidden="1" x14ac:dyDescent="0.25">
      <c r="A5" t="str">
        <f>Table1[[#This Row],[Lineage]]&amp;"-"&amp;Table1[[#This Row],[Lineage]]</f>
        <v>1-1</v>
      </c>
      <c r="B5">
        <v>1</v>
      </c>
      <c r="C5">
        <v>4</v>
      </c>
      <c r="D5">
        <v>1</v>
      </c>
      <c r="E5" t="s">
        <v>4</v>
      </c>
      <c r="F5" t="s">
        <v>5</v>
      </c>
      <c r="G5">
        <v>87080</v>
      </c>
      <c r="H5" t="s">
        <v>10</v>
      </c>
      <c r="S5" t="s">
        <v>23</v>
      </c>
    </row>
    <row r="6" spans="1:19" hidden="1" x14ac:dyDescent="0.25">
      <c r="A6" t="str">
        <f>Table1[[#This Row],[Lineage]]&amp;"-"&amp;Table1[[#This Row],[Lineage]]</f>
        <v>1-1</v>
      </c>
      <c r="B6">
        <v>1</v>
      </c>
      <c r="C6">
        <v>5</v>
      </c>
      <c r="D6">
        <v>1</v>
      </c>
      <c r="E6" t="s">
        <v>4</v>
      </c>
      <c r="F6" t="s">
        <v>5</v>
      </c>
      <c r="G6">
        <v>73516</v>
      </c>
      <c r="H6" t="s">
        <v>10</v>
      </c>
      <c r="S6" t="s">
        <v>24</v>
      </c>
    </row>
    <row r="7" spans="1:19" hidden="1" x14ac:dyDescent="0.25">
      <c r="A7" t="str">
        <f>Table1[[#This Row],[Lineage]]&amp;"-"&amp;Table1[[#This Row],[Lineage]]</f>
        <v>1-1</v>
      </c>
      <c r="B7">
        <v>1</v>
      </c>
      <c r="C7">
        <v>1</v>
      </c>
      <c r="D7">
        <v>2</v>
      </c>
      <c r="E7" t="s">
        <v>4</v>
      </c>
      <c r="F7" t="s">
        <v>5</v>
      </c>
      <c r="G7">
        <v>98826</v>
      </c>
      <c r="H7" t="s">
        <v>10</v>
      </c>
      <c r="S7" t="s">
        <v>25</v>
      </c>
    </row>
    <row r="8" spans="1:19" hidden="1" x14ac:dyDescent="0.25">
      <c r="A8" t="str">
        <f>Table1[[#This Row],[Lineage]]&amp;"-"&amp;Table1[[#This Row],[Lineage]]</f>
        <v>1-1</v>
      </c>
      <c r="B8">
        <v>1</v>
      </c>
      <c r="C8">
        <v>2</v>
      </c>
      <c r="D8">
        <v>2</v>
      </c>
      <c r="E8" t="s">
        <v>4</v>
      </c>
      <c r="F8" t="s">
        <v>5</v>
      </c>
      <c r="G8">
        <v>106704</v>
      </c>
      <c r="H8" t="s">
        <v>10</v>
      </c>
      <c r="S8" t="s">
        <v>26</v>
      </c>
    </row>
    <row r="9" spans="1:19" hidden="1" x14ac:dyDescent="0.25">
      <c r="A9" t="str">
        <f>Table1[[#This Row],[Lineage]]&amp;"-"&amp;Table1[[#This Row],[Lineage]]</f>
        <v>1-1</v>
      </c>
      <c r="B9">
        <v>1</v>
      </c>
      <c r="C9">
        <v>3</v>
      </c>
      <c r="D9">
        <v>2</v>
      </c>
      <c r="E9" t="s">
        <v>4</v>
      </c>
      <c r="F9" t="s">
        <v>5</v>
      </c>
      <c r="G9">
        <v>100469</v>
      </c>
      <c r="H9" t="s">
        <v>10</v>
      </c>
      <c r="S9" t="s">
        <v>27</v>
      </c>
    </row>
    <row r="10" spans="1:19" hidden="1" x14ac:dyDescent="0.25">
      <c r="A10" t="str">
        <f>Table1[[#This Row],[Lineage]]&amp;"-"&amp;Table1[[#This Row],[Lineage]]</f>
        <v>1-1</v>
      </c>
      <c r="B10">
        <v>1</v>
      </c>
      <c r="C10">
        <v>4</v>
      </c>
      <c r="D10">
        <v>2</v>
      </c>
      <c r="E10" t="s">
        <v>4</v>
      </c>
      <c r="F10" t="s">
        <v>5</v>
      </c>
      <c r="G10">
        <v>128741</v>
      </c>
      <c r="H10" t="s">
        <v>10</v>
      </c>
    </row>
    <row r="11" spans="1:19" hidden="1" x14ac:dyDescent="0.25">
      <c r="A11" t="str">
        <f>Table1[[#This Row],[Lineage]]&amp;"-"&amp;Table1[[#This Row],[Lineage]]</f>
        <v>1-1</v>
      </c>
      <c r="B11">
        <v>1</v>
      </c>
      <c r="C11">
        <v>5</v>
      </c>
      <c r="D11">
        <v>2</v>
      </c>
      <c r="E11" t="s">
        <v>4</v>
      </c>
      <c r="F11" t="s">
        <v>5</v>
      </c>
      <c r="G11">
        <v>102455</v>
      </c>
      <c r="H11" t="s">
        <v>10</v>
      </c>
    </row>
    <row r="12" spans="1:19" hidden="1" x14ac:dyDescent="0.25">
      <c r="A12" t="str">
        <f>Table1[[#This Row],[Lineage]]&amp;"-"&amp;Table1[[#This Row],[Lineage]]</f>
        <v>2-2</v>
      </c>
      <c r="B12">
        <v>2</v>
      </c>
      <c r="C12">
        <v>1</v>
      </c>
      <c r="D12">
        <v>1</v>
      </c>
      <c r="E12" t="s">
        <v>8</v>
      </c>
      <c r="F12" t="s">
        <v>5</v>
      </c>
      <c r="G12">
        <v>64222</v>
      </c>
      <c r="H12" t="s">
        <v>10</v>
      </c>
    </row>
    <row r="13" spans="1:19" hidden="1" x14ac:dyDescent="0.25">
      <c r="A13" t="str">
        <f>Table1[[#This Row],[Lineage]]&amp;"-"&amp;Table1[[#This Row],[Lineage]]</f>
        <v>2-2</v>
      </c>
      <c r="B13">
        <v>2</v>
      </c>
      <c r="C13">
        <v>2</v>
      </c>
      <c r="D13">
        <v>1</v>
      </c>
      <c r="E13" t="s">
        <v>8</v>
      </c>
      <c r="F13" t="s">
        <v>5</v>
      </c>
      <c r="G13">
        <v>38194</v>
      </c>
      <c r="H13" t="s">
        <v>10</v>
      </c>
    </row>
    <row r="14" spans="1:19" hidden="1" x14ac:dyDescent="0.25">
      <c r="A14" t="str">
        <f>Table1[[#This Row],[Lineage]]&amp;"-"&amp;Table1[[#This Row],[Lineage]]</f>
        <v>2-2</v>
      </c>
      <c r="B14">
        <v>2</v>
      </c>
      <c r="C14">
        <v>3</v>
      </c>
      <c r="D14">
        <v>1</v>
      </c>
      <c r="E14" t="s">
        <v>8</v>
      </c>
      <c r="F14" t="s">
        <v>5</v>
      </c>
      <c r="G14">
        <v>66711</v>
      </c>
      <c r="H14" t="s">
        <v>10</v>
      </c>
    </row>
    <row r="15" spans="1:19" hidden="1" x14ac:dyDescent="0.25">
      <c r="A15" t="str">
        <f>Table1[[#This Row],[Lineage]]&amp;"-"&amp;Table1[[#This Row],[Lineage]]</f>
        <v>2-2</v>
      </c>
      <c r="B15">
        <v>2</v>
      </c>
      <c r="C15">
        <v>4</v>
      </c>
      <c r="D15">
        <v>1</v>
      </c>
      <c r="E15" t="s">
        <v>8</v>
      </c>
      <c r="F15" t="s">
        <v>5</v>
      </c>
      <c r="G15">
        <v>64802</v>
      </c>
      <c r="H15" t="s">
        <v>10</v>
      </c>
    </row>
    <row r="16" spans="1:19" hidden="1" x14ac:dyDescent="0.25">
      <c r="A16" t="str">
        <f>Table1[[#This Row],[Lineage]]&amp;"-"&amp;Table1[[#This Row],[Lineage]]</f>
        <v>2-2</v>
      </c>
      <c r="B16">
        <v>2</v>
      </c>
      <c r="C16">
        <v>5</v>
      </c>
      <c r="D16">
        <v>1</v>
      </c>
      <c r="E16" t="s">
        <v>8</v>
      </c>
      <c r="F16" t="s">
        <v>5</v>
      </c>
      <c r="G16">
        <v>37199</v>
      </c>
      <c r="H16" t="s">
        <v>10</v>
      </c>
    </row>
    <row r="17" spans="1:8" hidden="1" x14ac:dyDescent="0.25">
      <c r="A17" t="str">
        <f>Table1[[#This Row],[Lineage]]&amp;"-"&amp;Table1[[#This Row],[Lineage]]</f>
        <v>2-2</v>
      </c>
      <c r="B17">
        <v>2</v>
      </c>
      <c r="C17">
        <v>1</v>
      </c>
      <c r="D17">
        <v>2</v>
      </c>
      <c r="E17" t="s">
        <v>8</v>
      </c>
      <c r="F17" t="s">
        <v>5</v>
      </c>
      <c r="G17">
        <v>69828</v>
      </c>
      <c r="H17" t="s">
        <v>10</v>
      </c>
    </row>
    <row r="18" spans="1:8" hidden="1" x14ac:dyDescent="0.25">
      <c r="A18" t="str">
        <f>Table1[[#This Row],[Lineage]]&amp;"-"&amp;Table1[[#This Row],[Lineage]]</f>
        <v>2-2</v>
      </c>
      <c r="B18">
        <v>2</v>
      </c>
      <c r="C18">
        <v>2</v>
      </c>
      <c r="D18">
        <v>2</v>
      </c>
      <c r="E18" t="s">
        <v>8</v>
      </c>
      <c r="F18" t="s">
        <v>5</v>
      </c>
      <c r="G18">
        <v>74368</v>
      </c>
      <c r="H18" t="s">
        <v>10</v>
      </c>
    </row>
    <row r="19" spans="1:8" hidden="1" x14ac:dyDescent="0.25">
      <c r="A19" t="str">
        <f>Table1[[#This Row],[Lineage]]&amp;"-"&amp;Table1[[#This Row],[Lineage]]</f>
        <v>2-2</v>
      </c>
      <c r="B19">
        <v>2</v>
      </c>
      <c r="C19">
        <v>3</v>
      </c>
      <c r="D19">
        <v>2</v>
      </c>
      <c r="E19" t="s">
        <v>8</v>
      </c>
      <c r="F19" t="s">
        <v>5</v>
      </c>
      <c r="G19">
        <v>70158</v>
      </c>
      <c r="H19" t="s">
        <v>10</v>
      </c>
    </row>
    <row r="20" spans="1:8" hidden="1" x14ac:dyDescent="0.25">
      <c r="A20" t="str">
        <f>Table1[[#This Row],[Lineage]]&amp;"-"&amp;Table1[[#This Row],[Lineage]]</f>
        <v>2-2</v>
      </c>
      <c r="B20">
        <v>2</v>
      </c>
      <c r="C20">
        <v>4</v>
      </c>
      <c r="D20">
        <v>2</v>
      </c>
      <c r="E20" t="s">
        <v>8</v>
      </c>
      <c r="F20" t="s">
        <v>5</v>
      </c>
      <c r="G20">
        <v>70573</v>
      </c>
      <c r="H20" t="s">
        <v>10</v>
      </c>
    </row>
    <row r="21" spans="1:8" hidden="1" x14ac:dyDescent="0.25">
      <c r="A21" t="str">
        <f>Table1[[#This Row],[Lineage]]&amp;"-"&amp;Table1[[#This Row],[Lineage]]</f>
        <v>2-2</v>
      </c>
      <c r="B21">
        <v>2</v>
      </c>
      <c r="C21">
        <v>5</v>
      </c>
      <c r="D21">
        <v>2</v>
      </c>
      <c r="E21" t="s">
        <v>8</v>
      </c>
      <c r="F21" t="s">
        <v>5</v>
      </c>
      <c r="G21">
        <v>75715</v>
      </c>
      <c r="H21" t="s">
        <v>10</v>
      </c>
    </row>
    <row r="22" spans="1:8" hidden="1" x14ac:dyDescent="0.25">
      <c r="A22" t="str">
        <f>Table1[[#This Row],[Lineage]]&amp;"-"&amp;Table1[[#This Row],[Lineage]]</f>
        <v>3-3</v>
      </c>
      <c r="B22">
        <v>3</v>
      </c>
      <c r="C22">
        <v>1</v>
      </c>
      <c r="D22">
        <v>1</v>
      </c>
      <c r="E22" t="s">
        <v>4</v>
      </c>
      <c r="F22" t="s">
        <v>5</v>
      </c>
      <c r="G22">
        <v>65416</v>
      </c>
      <c r="H22" t="s">
        <v>10</v>
      </c>
    </row>
    <row r="23" spans="1:8" hidden="1" x14ac:dyDescent="0.25">
      <c r="A23" t="str">
        <f>Table1[[#This Row],[Lineage]]&amp;"-"&amp;Table1[[#This Row],[Lineage]]</f>
        <v>3-3</v>
      </c>
      <c r="B23">
        <v>3</v>
      </c>
      <c r="C23">
        <v>2</v>
      </c>
      <c r="D23">
        <v>1</v>
      </c>
      <c r="E23" t="s">
        <v>4</v>
      </c>
      <c r="F23" t="s">
        <v>5</v>
      </c>
      <c r="G23">
        <v>52539</v>
      </c>
      <c r="H23" t="s">
        <v>10</v>
      </c>
    </row>
    <row r="24" spans="1:8" hidden="1" x14ac:dyDescent="0.25">
      <c r="A24" t="str">
        <f>Table1[[#This Row],[Lineage]]&amp;"-"&amp;Table1[[#This Row],[Lineage]]</f>
        <v>3-3</v>
      </c>
      <c r="B24">
        <v>3</v>
      </c>
      <c r="C24">
        <v>3</v>
      </c>
      <c r="D24">
        <v>1</v>
      </c>
      <c r="E24" t="s">
        <v>4</v>
      </c>
      <c r="F24" t="s">
        <v>5</v>
      </c>
      <c r="G24">
        <v>126550</v>
      </c>
      <c r="H24" t="s">
        <v>10</v>
      </c>
    </row>
    <row r="25" spans="1:8" hidden="1" x14ac:dyDescent="0.25">
      <c r="A25" t="str">
        <f>Table1[[#This Row],[Lineage]]&amp;"-"&amp;Table1[[#This Row],[Lineage]]</f>
        <v>3-3</v>
      </c>
      <c r="B25">
        <v>3</v>
      </c>
      <c r="C25">
        <v>4</v>
      </c>
      <c r="D25">
        <v>1</v>
      </c>
      <c r="E25" t="s">
        <v>4</v>
      </c>
      <c r="F25" t="s">
        <v>5</v>
      </c>
      <c r="G25">
        <v>70224</v>
      </c>
      <c r="H25" t="s">
        <v>10</v>
      </c>
    </row>
    <row r="26" spans="1:8" hidden="1" x14ac:dyDescent="0.25">
      <c r="A26" t="str">
        <f>Table1[[#This Row],[Lineage]]&amp;"-"&amp;Table1[[#This Row],[Lineage]]</f>
        <v>3-3</v>
      </c>
      <c r="B26">
        <v>3</v>
      </c>
      <c r="C26">
        <v>5</v>
      </c>
      <c r="D26">
        <v>1</v>
      </c>
      <c r="E26" t="s">
        <v>4</v>
      </c>
      <c r="F26" t="s">
        <v>5</v>
      </c>
      <c r="G26">
        <v>106281</v>
      </c>
      <c r="H26" t="s">
        <v>10</v>
      </c>
    </row>
    <row r="27" spans="1:8" hidden="1" x14ac:dyDescent="0.25">
      <c r="A27" t="str">
        <f>Table1[[#This Row],[Lineage]]&amp;"-"&amp;Table1[[#This Row],[Lineage]]</f>
        <v>3-3</v>
      </c>
      <c r="B27">
        <v>3</v>
      </c>
      <c r="C27">
        <v>1</v>
      </c>
      <c r="D27">
        <v>2</v>
      </c>
      <c r="E27" t="s">
        <v>4</v>
      </c>
      <c r="F27" t="s">
        <v>5</v>
      </c>
      <c r="G27">
        <v>49446</v>
      </c>
      <c r="H27" t="s">
        <v>10</v>
      </c>
    </row>
    <row r="28" spans="1:8" hidden="1" x14ac:dyDescent="0.25">
      <c r="A28" t="str">
        <f>Table1[[#This Row],[Lineage]]&amp;"-"&amp;Table1[[#This Row],[Lineage]]</f>
        <v>3-3</v>
      </c>
      <c r="B28">
        <v>3</v>
      </c>
      <c r="C28">
        <v>2</v>
      </c>
      <c r="D28">
        <v>2</v>
      </c>
      <c r="E28" t="s">
        <v>4</v>
      </c>
      <c r="F28" t="s">
        <v>5</v>
      </c>
      <c r="G28">
        <v>51829</v>
      </c>
      <c r="H28" t="s">
        <v>10</v>
      </c>
    </row>
    <row r="29" spans="1:8" hidden="1" x14ac:dyDescent="0.25">
      <c r="A29" t="str">
        <f>Table1[[#This Row],[Lineage]]&amp;"-"&amp;Table1[[#This Row],[Lineage]]</f>
        <v>3-3</v>
      </c>
      <c r="B29">
        <v>3</v>
      </c>
      <c r="C29">
        <v>3</v>
      </c>
      <c r="D29">
        <v>2</v>
      </c>
      <c r="E29" t="s">
        <v>4</v>
      </c>
      <c r="F29" t="s">
        <v>5</v>
      </c>
      <c r="G29">
        <v>125666</v>
      </c>
      <c r="H29" t="s">
        <v>10</v>
      </c>
    </row>
    <row r="30" spans="1:8" hidden="1" x14ac:dyDescent="0.25">
      <c r="A30" t="str">
        <f>Table1[[#This Row],[Lineage]]&amp;"-"&amp;Table1[[#This Row],[Lineage]]</f>
        <v>3-3</v>
      </c>
      <c r="B30">
        <v>3</v>
      </c>
      <c r="C30">
        <v>4</v>
      </c>
      <c r="D30">
        <v>2</v>
      </c>
      <c r="E30" t="s">
        <v>4</v>
      </c>
      <c r="F30" t="s">
        <v>5</v>
      </c>
      <c r="G30">
        <v>88514</v>
      </c>
      <c r="H30" t="s">
        <v>10</v>
      </c>
    </row>
    <row r="31" spans="1:8" hidden="1" x14ac:dyDescent="0.25">
      <c r="A31" t="str">
        <f>Table1[[#This Row],[Lineage]]&amp;"-"&amp;Table1[[#This Row],[Lineage]]</f>
        <v>3-3</v>
      </c>
      <c r="B31">
        <v>3</v>
      </c>
      <c r="C31">
        <v>5</v>
      </c>
      <c r="D31">
        <v>2</v>
      </c>
      <c r="E31" t="s">
        <v>4</v>
      </c>
      <c r="F31" t="s">
        <v>5</v>
      </c>
      <c r="G31">
        <v>98606</v>
      </c>
      <c r="H31" t="s">
        <v>10</v>
      </c>
    </row>
    <row r="32" spans="1:8" hidden="1" x14ac:dyDescent="0.25">
      <c r="A32" t="str">
        <f>Table1[[#This Row],[Lineage]]&amp;"-"&amp;Table1[[#This Row],[Lineage]]</f>
        <v>4-4</v>
      </c>
      <c r="B32">
        <v>4</v>
      </c>
      <c r="C32">
        <v>1</v>
      </c>
      <c r="D32">
        <v>1</v>
      </c>
      <c r="E32" t="s">
        <v>8</v>
      </c>
      <c r="F32" t="s">
        <v>5</v>
      </c>
      <c r="G32">
        <v>42836</v>
      </c>
      <c r="H32" t="s">
        <v>10</v>
      </c>
    </row>
    <row r="33" spans="1:8" hidden="1" x14ac:dyDescent="0.25">
      <c r="A33" t="str">
        <f>Table1[[#This Row],[Lineage]]&amp;"-"&amp;Table1[[#This Row],[Lineage]]</f>
        <v>4-4</v>
      </c>
      <c r="B33">
        <v>4</v>
      </c>
      <c r="C33">
        <v>2</v>
      </c>
      <c r="D33">
        <v>1</v>
      </c>
      <c r="E33" t="s">
        <v>8</v>
      </c>
      <c r="F33" t="s">
        <v>5</v>
      </c>
      <c r="G33">
        <v>98022</v>
      </c>
      <c r="H33" t="s">
        <v>10</v>
      </c>
    </row>
    <row r="34" spans="1:8" hidden="1" x14ac:dyDescent="0.25">
      <c r="A34" t="str">
        <f>Table1[[#This Row],[Lineage]]&amp;"-"&amp;Table1[[#This Row],[Lineage]]</f>
        <v>4-4</v>
      </c>
      <c r="B34">
        <v>4</v>
      </c>
      <c r="C34">
        <v>3</v>
      </c>
      <c r="D34">
        <v>1</v>
      </c>
      <c r="E34" t="s">
        <v>8</v>
      </c>
      <c r="F34" t="s">
        <v>5</v>
      </c>
      <c r="G34">
        <v>94653</v>
      </c>
      <c r="H34" t="s">
        <v>10</v>
      </c>
    </row>
    <row r="35" spans="1:8" hidden="1" x14ac:dyDescent="0.25">
      <c r="A35" t="str">
        <f>Table1[[#This Row],[Lineage]]&amp;"-"&amp;Table1[[#This Row],[Lineage]]</f>
        <v>4-4</v>
      </c>
      <c r="B35">
        <v>4</v>
      </c>
      <c r="C35">
        <v>4</v>
      </c>
      <c r="D35">
        <v>1</v>
      </c>
      <c r="E35" t="s">
        <v>8</v>
      </c>
      <c r="F35" t="s">
        <v>5</v>
      </c>
      <c r="G35">
        <v>120681</v>
      </c>
      <c r="H35" t="s">
        <v>10</v>
      </c>
    </row>
    <row r="36" spans="1:8" hidden="1" x14ac:dyDescent="0.25">
      <c r="A36" t="str">
        <f>Table1[[#This Row],[Lineage]]&amp;"-"&amp;Table1[[#This Row],[Lineage]]</f>
        <v>4-4</v>
      </c>
      <c r="B36">
        <v>4</v>
      </c>
      <c r="C36">
        <v>5</v>
      </c>
      <c r="D36">
        <v>1</v>
      </c>
      <c r="E36" t="s">
        <v>8</v>
      </c>
      <c r="F36" t="s">
        <v>5</v>
      </c>
      <c r="G36">
        <v>77028</v>
      </c>
      <c r="H36" t="s">
        <v>10</v>
      </c>
    </row>
    <row r="37" spans="1:8" hidden="1" x14ac:dyDescent="0.25">
      <c r="A37" t="str">
        <f>Table1[[#This Row],[Lineage]]&amp;"-"&amp;Table1[[#This Row],[Lineage]]</f>
        <v>4-4</v>
      </c>
      <c r="B37">
        <v>4</v>
      </c>
      <c r="C37">
        <v>1</v>
      </c>
      <c r="D37">
        <v>2</v>
      </c>
      <c r="E37" t="s">
        <v>8</v>
      </c>
      <c r="F37" t="s">
        <v>5</v>
      </c>
      <c r="G37">
        <v>79257</v>
      </c>
      <c r="H37" t="s">
        <v>10</v>
      </c>
    </row>
    <row r="38" spans="1:8" hidden="1" x14ac:dyDescent="0.25">
      <c r="A38" t="str">
        <f>Table1[[#This Row],[Lineage]]&amp;"-"&amp;Table1[[#This Row],[Lineage]]</f>
        <v>4-4</v>
      </c>
      <c r="B38">
        <v>4</v>
      </c>
      <c r="C38">
        <v>2</v>
      </c>
      <c r="D38">
        <v>2</v>
      </c>
      <c r="E38" t="s">
        <v>8</v>
      </c>
      <c r="F38" t="s">
        <v>5</v>
      </c>
      <c r="G38">
        <v>110365</v>
      </c>
      <c r="H38" t="s">
        <v>10</v>
      </c>
    </row>
    <row r="39" spans="1:8" hidden="1" x14ac:dyDescent="0.25">
      <c r="A39" t="str">
        <f>Table1[[#This Row],[Lineage]]&amp;"-"&amp;Table1[[#This Row],[Lineage]]</f>
        <v>4-4</v>
      </c>
      <c r="B39">
        <v>4</v>
      </c>
      <c r="C39">
        <v>3</v>
      </c>
      <c r="D39">
        <v>2</v>
      </c>
      <c r="E39" t="s">
        <v>8</v>
      </c>
      <c r="F39" t="s">
        <v>5</v>
      </c>
      <c r="G39">
        <v>71961</v>
      </c>
      <c r="H39" t="s">
        <v>10</v>
      </c>
    </row>
    <row r="40" spans="1:8" hidden="1" x14ac:dyDescent="0.25">
      <c r="A40" t="str">
        <f>Table1[[#This Row],[Lineage]]&amp;"-"&amp;Table1[[#This Row],[Lineage]]</f>
        <v>4-4</v>
      </c>
      <c r="B40">
        <v>4</v>
      </c>
      <c r="C40">
        <v>4</v>
      </c>
      <c r="D40">
        <v>2</v>
      </c>
      <c r="E40" t="s">
        <v>8</v>
      </c>
      <c r="F40" t="s">
        <v>5</v>
      </c>
      <c r="G40">
        <v>112742</v>
      </c>
      <c r="H40" t="s">
        <v>10</v>
      </c>
    </row>
    <row r="41" spans="1:8" hidden="1" x14ac:dyDescent="0.25">
      <c r="A41" t="str">
        <f>Table1[[#This Row],[Lineage]]&amp;"-"&amp;Table1[[#This Row],[Lineage]]</f>
        <v>4-4</v>
      </c>
      <c r="B41">
        <v>4</v>
      </c>
      <c r="C41">
        <v>5</v>
      </c>
      <c r="D41">
        <v>2</v>
      </c>
      <c r="E41" t="s">
        <v>8</v>
      </c>
      <c r="F41" t="s">
        <v>5</v>
      </c>
      <c r="G41">
        <v>75825</v>
      </c>
      <c r="H41" t="s">
        <v>10</v>
      </c>
    </row>
    <row r="42" spans="1:8" hidden="1" x14ac:dyDescent="0.25">
      <c r="A42" t="str">
        <f>Table1[[#This Row],[Lineage]]&amp;"-"&amp;Table1[[#This Row],[Lineage]]</f>
        <v>5-5</v>
      </c>
      <c r="B42">
        <v>5</v>
      </c>
      <c r="C42">
        <v>1</v>
      </c>
      <c r="D42">
        <v>1</v>
      </c>
      <c r="E42" t="s">
        <v>4</v>
      </c>
      <c r="F42" t="s">
        <v>5</v>
      </c>
      <c r="G42">
        <v>102453</v>
      </c>
      <c r="H42" t="s">
        <v>10</v>
      </c>
    </row>
    <row r="43" spans="1:8" hidden="1" x14ac:dyDescent="0.25">
      <c r="A43" t="str">
        <f>Table1[[#This Row],[Lineage]]&amp;"-"&amp;Table1[[#This Row],[Lineage]]</f>
        <v>5-5</v>
      </c>
      <c r="B43">
        <v>5</v>
      </c>
      <c r="C43">
        <v>2</v>
      </c>
      <c r="D43">
        <v>1</v>
      </c>
      <c r="E43" t="s">
        <v>4</v>
      </c>
      <c r="F43" t="s">
        <v>5</v>
      </c>
      <c r="G43">
        <v>79555</v>
      </c>
      <c r="H43" t="s">
        <v>10</v>
      </c>
    </row>
    <row r="44" spans="1:8" hidden="1" x14ac:dyDescent="0.25">
      <c r="A44" t="str">
        <f>Table1[[#This Row],[Lineage]]&amp;"-"&amp;Table1[[#This Row],[Lineage]]</f>
        <v>5-5</v>
      </c>
      <c r="B44">
        <v>5</v>
      </c>
      <c r="C44">
        <v>3</v>
      </c>
      <c r="D44">
        <v>1</v>
      </c>
      <c r="E44" t="s">
        <v>4</v>
      </c>
      <c r="F44" t="s">
        <v>5</v>
      </c>
      <c r="G44">
        <v>114685</v>
      </c>
      <c r="H44" t="s">
        <v>10</v>
      </c>
    </row>
    <row r="45" spans="1:8" hidden="1" x14ac:dyDescent="0.25">
      <c r="A45" t="str">
        <f>Table1[[#This Row],[Lineage]]&amp;"-"&amp;Table1[[#This Row],[Lineage]]</f>
        <v>5-5</v>
      </c>
      <c r="B45">
        <v>5</v>
      </c>
      <c r="C45">
        <v>4</v>
      </c>
      <c r="D45">
        <v>1</v>
      </c>
      <c r="E45" t="s">
        <v>4</v>
      </c>
      <c r="F45" t="s">
        <v>5</v>
      </c>
      <c r="G45">
        <v>107515</v>
      </c>
      <c r="H45" t="s">
        <v>10</v>
      </c>
    </row>
    <row r="46" spans="1:8" hidden="1" x14ac:dyDescent="0.25">
      <c r="A46" t="str">
        <f>Table1[[#This Row],[Lineage]]&amp;"-"&amp;Table1[[#This Row],[Lineage]]</f>
        <v>5-5</v>
      </c>
      <c r="B46">
        <v>5</v>
      </c>
      <c r="C46">
        <v>5</v>
      </c>
      <c r="D46">
        <v>1</v>
      </c>
      <c r="E46" t="s">
        <v>4</v>
      </c>
      <c r="F46" t="s">
        <v>5</v>
      </c>
      <c r="G46">
        <v>72658</v>
      </c>
      <c r="H46" t="s">
        <v>10</v>
      </c>
    </row>
    <row r="47" spans="1:8" hidden="1" x14ac:dyDescent="0.25">
      <c r="A47" t="str">
        <f>Table1[[#This Row],[Lineage]]&amp;"-"&amp;Table1[[#This Row],[Lineage]]</f>
        <v>5-5</v>
      </c>
      <c r="B47">
        <v>5</v>
      </c>
      <c r="C47">
        <v>6</v>
      </c>
      <c r="D47">
        <v>1</v>
      </c>
      <c r="E47" t="s">
        <v>4</v>
      </c>
      <c r="F47" t="s">
        <v>5</v>
      </c>
      <c r="G47">
        <v>74698</v>
      </c>
      <c r="H47" t="s">
        <v>10</v>
      </c>
    </row>
    <row r="48" spans="1:8" hidden="1" x14ac:dyDescent="0.25">
      <c r="A48" t="str">
        <f>Table1[[#This Row],[Lineage]]&amp;"-"&amp;Table1[[#This Row],[Lineage]]</f>
        <v>5-5</v>
      </c>
      <c r="B48">
        <v>5</v>
      </c>
      <c r="C48">
        <v>7</v>
      </c>
      <c r="D48">
        <v>1</v>
      </c>
      <c r="E48" t="s">
        <v>4</v>
      </c>
      <c r="F48" t="s">
        <v>5</v>
      </c>
      <c r="G48">
        <v>73896</v>
      </c>
      <c r="H48" t="s">
        <v>10</v>
      </c>
    </row>
    <row r="49" spans="1:8" hidden="1" x14ac:dyDescent="0.25">
      <c r="A49" t="str">
        <f>Table1[[#This Row],[Lineage]]&amp;"-"&amp;Table1[[#This Row],[Lineage]]</f>
        <v>5-5</v>
      </c>
      <c r="B49">
        <v>5</v>
      </c>
      <c r="C49">
        <v>8</v>
      </c>
      <c r="D49">
        <v>1</v>
      </c>
      <c r="E49" t="s">
        <v>4</v>
      </c>
      <c r="F49" t="s">
        <v>5</v>
      </c>
      <c r="G49">
        <v>71329</v>
      </c>
      <c r="H49" t="s">
        <v>10</v>
      </c>
    </row>
    <row r="50" spans="1:8" hidden="1" x14ac:dyDescent="0.25">
      <c r="A50" t="str">
        <f>Table1[[#This Row],[Lineage]]&amp;"-"&amp;Table1[[#This Row],[Lineage]]</f>
        <v>5-5</v>
      </c>
      <c r="B50">
        <v>5</v>
      </c>
      <c r="C50">
        <v>9</v>
      </c>
      <c r="D50">
        <v>1</v>
      </c>
      <c r="E50" t="s">
        <v>4</v>
      </c>
      <c r="F50" t="s">
        <v>5</v>
      </c>
      <c r="G50">
        <v>54025</v>
      </c>
      <c r="H50" t="s">
        <v>10</v>
      </c>
    </row>
    <row r="51" spans="1:8" hidden="1" x14ac:dyDescent="0.25">
      <c r="A51" t="str">
        <f>Table1[[#This Row],[Lineage]]&amp;"-"&amp;Table1[[#This Row],[Lineage]]</f>
        <v>5-5</v>
      </c>
      <c r="B51">
        <v>5</v>
      </c>
      <c r="C51">
        <v>10</v>
      </c>
      <c r="D51">
        <v>1</v>
      </c>
      <c r="E51" t="s">
        <v>4</v>
      </c>
      <c r="F51" t="s">
        <v>5</v>
      </c>
      <c r="G51">
        <v>75713</v>
      </c>
      <c r="H51" t="s">
        <v>10</v>
      </c>
    </row>
    <row r="52" spans="1:8" hidden="1" x14ac:dyDescent="0.25">
      <c r="A52" t="str">
        <f>Table1[[#This Row],[Lineage]]&amp;"-"&amp;Table1[[#This Row],[Lineage]]</f>
        <v>5-5</v>
      </c>
      <c r="B52">
        <v>5</v>
      </c>
      <c r="C52">
        <v>1</v>
      </c>
      <c r="D52">
        <v>2</v>
      </c>
      <c r="E52" t="s">
        <v>4</v>
      </c>
      <c r="F52" t="s">
        <v>5</v>
      </c>
      <c r="G52">
        <v>105827</v>
      </c>
      <c r="H52" t="s">
        <v>10</v>
      </c>
    </row>
    <row r="53" spans="1:8" hidden="1" x14ac:dyDescent="0.25">
      <c r="A53" t="str">
        <f>Table1[[#This Row],[Lineage]]&amp;"-"&amp;Table1[[#This Row],[Lineage]]</f>
        <v>5-5</v>
      </c>
      <c r="B53">
        <v>5</v>
      </c>
      <c r="C53">
        <v>2</v>
      </c>
      <c r="D53">
        <v>2</v>
      </c>
      <c r="E53" t="s">
        <v>4</v>
      </c>
      <c r="F53" t="s">
        <v>5</v>
      </c>
      <c r="G53">
        <v>77552</v>
      </c>
      <c r="H53" t="s">
        <v>10</v>
      </c>
    </row>
    <row r="54" spans="1:8" hidden="1" x14ac:dyDescent="0.25">
      <c r="A54" t="str">
        <f>Table1[[#This Row],[Lineage]]&amp;"-"&amp;Table1[[#This Row],[Lineage]]</f>
        <v>5-5</v>
      </c>
      <c r="B54">
        <v>5</v>
      </c>
      <c r="C54">
        <v>3</v>
      </c>
      <c r="D54">
        <v>2</v>
      </c>
      <c r="E54" t="s">
        <v>4</v>
      </c>
      <c r="F54" t="s">
        <v>5</v>
      </c>
      <c r="G54">
        <v>117967</v>
      </c>
      <c r="H54" t="s">
        <v>10</v>
      </c>
    </row>
    <row r="55" spans="1:8" hidden="1" x14ac:dyDescent="0.25">
      <c r="A55" t="str">
        <f>Table1[[#This Row],[Lineage]]&amp;"-"&amp;Table1[[#This Row],[Lineage]]</f>
        <v>5-5</v>
      </c>
      <c r="B55">
        <v>5</v>
      </c>
      <c r="C55">
        <v>4</v>
      </c>
      <c r="D55">
        <v>2</v>
      </c>
      <c r="E55" t="s">
        <v>4</v>
      </c>
      <c r="F55" t="s">
        <v>5</v>
      </c>
      <c r="G55">
        <v>113577</v>
      </c>
      <c r="H55" t="s">
        <v>10</v>
      </c>
    </row>
    <row r="56" spans="1:8" hidden="1" x14ac:dyDescent="0.25">
      <c r="A56" t="str">
        <f>Table1[[#This Row],[Lineage]]&amp;"-"&amp;Table1[[#This Row],[Lineage]]</f>
        <v>5-5</v>
      </c>
      <c r="B56">
        <v>5</v>
      </c>
      <c r="C56">
        <v>5</v>
      </c>
      <c r="D56">
        <v>2</v>
      </c>
      <c r="E56" t="s">
        <v>4</v>
      </c>
      <c r="F56" t="s">
        <v>5</v>
      </c>
      <c r="G56">
        <v>74502</v>
      </c>
      <c r="H56" t="s">
        <v>10</v>
      </c>
    </row>
    <row r="57" spans="1:8" hidden="1" x14ac:dyDescent="0.25">
      <c r="A57" t="str">
        <f>Table1[[#This Row],[Lineage]]&amp;"-"&amp;Table1[[#This Row],[Lineage]]</f>
        <v>5-5</v>
      </c>
      <c r="B57">
        <v>5</v>
      </c>
      <c r="C57">
        <v>6</v>
      </c>
      <c r="D57">
        <v>2</v>
      </c>
      <c r="E57" t="s">
        <v>4</v>
      </c>
      <c r="F57" t="s">
        <v>5</v>
      </c>
      <c r="G57">
        <v>71887</v>
      </c>
      <c r="H57" t="s">
        <v>10</v>
      </c>
    </row>
    <row r="58" spans="1:8" hidden="1" x14ac:dyDescent="0.25">
      <c r="A58" t="str">
        <f>Table1[[#This Row],[Lineage]]&amp;"-"&amp;Table1[[#This Row],[Lineage]]</f>
        <v>5-5</v>
      </c>
      <c r="B58">
        <v>5</v>
      </c>
      <c r="C58">
        <v>7</v>
      </c>
      <c r="D58">
        <v>2</v>
      </c>
      <c r="E58" t="s">
        <v>4</v>
      </c>
      <c r="F58" t="s">
        <v>5</v>
      </c>
      <c r="G58">
        <v>71649</v>
      </c>
      <c r="H58" t="s">
        <v>10</v>
      </c>
    </row>
    <row r="59" spans="1:8" hidden="1" x14ac:dyDescent="0.25">
      <c r="A59" t="str">
        <f>Table1[[#This Row],[Lineage]]&amp;"-"&amp;Table1[[#This Row],[Lineage]]</f>
        <v>5-5</v>
      </c>
      <c r="B59">
        <v>5</v>
      </c>
      <c r="C59">
        <v>8</v>
      </c>
      <c r="D59">
        <v>2</v>
      </c>
      <c r="E59" t="s">
        <v>4</v>
      </c>
      <c r="F59" t="s">
        <v>5</v>
      </c>
      <c r="G59">
        <v>73116</v>
      </c>
      <c r="H59" t="s">
        <v>10</v>
      </c>
    </row>
    <row r="60" spans="1:8" hidden="1" x14ac:dyDescent="0.25">
      <c r="A60" t="str">
        <f>Table1[[#This Row],[Lineage]]&amp;"-"&amp;Table1[[#This Row],[Lineage]]</f>
        <v>5-5</v>
      </c>
      <c r="B60">
        <v>5</v>
      </c>
      <c r="C60">
        <v>9</v>
      </c>
      <c r="D60">
        <v>2</v>
      </c>
      <c r="E60" t="s">
        <v>4</v>
      </c>
      <c r="F60" t="s">
        <v>5</v>
      </c>
      <c r="G60">
        <v>45803</v>
      </c>
      <c r="H60" t="s">
        <v>10</v>
      </c>
    </row>
    <row r="61" spans="1:8" hidden="1" x14ac:dyDescent="0.25">
      <c r="A61" t="str">
        <f>Table1[[#This Row],[Lineage]]&amp;"-"&amp;Table1[[#This Row],[Lineage]]</f>
        <v>5-5</v>
      </c>
      <c r="B61">
        <v>5</v>
      </c>
      <c r="C61">
        <v>10</v>
      </c>
      <c r="D61">
        <v>2</v>
      </c>
      <c r="E61" t="s">
        <v>4</v>
      </c>
      <c r="F61" t="s">
        <v>5</v>
      </c>
      <c r="G61">
        <v>72708</v>
      </c>
      <c r="H61" t="s">
        <v>10</v>
      </c>
    </row>
    <row r="62" spans="1:8" hidden="1" x14ac:dyDescent="0.25">
      <c r="A62" t="str">
        <f>Table1[[#This Row],[Lineage]]&amp;"-"&amp;Table1[[#This Row],[Lineage]]</f>
        <v>6-6</v>
      </c>
      <c r="B62">
        <v>6</v>
      </c>
      <c r="C62">
        <v>1</v>
      </c>
      <c r="D62">
        <v>1</v>
      </c>
      <c r="E62" t="s">
        <v>8</v>
      </c>
      <c r="F62" t="s">
        <v>5</v>
      </c>
      <c r="G62">
        <v>76444</v>
      </c>
      <c r="H62" t="s">
        <v>10</v>
      </c>
    </row>
    <row r="63" spans="1:8" hidden="1" x14ac:dyDescent="0.25">
      <c r="A63" t="str">
        <f>Table1[[#This Row],[Lineage]]&amp;"-"&amp;Table1[[#This Row],[Lineage]]</f>
        <v>6-6</v>
      </c>
      <c r="B63">
        <v>6</v>
      </c>
      <c r="C63">
        <v>2</v>
      </c>
      <c r="D63">
        <v>1</v>
      </c>
      <c r="E63" t="s">
        <v>8</v>
      </c>
      <c r="F63" t="s">
        <v>5</v>
      </c>
      <c r="G63">
        <v>74710</v>
      </c>
      <c r="H63" t="s">
        <v>10</v>
      </c>
    </row>
    <row r="64" spans="1:8" hidden="1" x14ac:dyDescent="0.25">
      <c r="A64" t="str">
        <f>Table1[[#This Row],[Lineage]]&amp;"-"&amp;Table1[[#This Row],[Lineage]]</f>
        <v>6-6</v>
      </c>
      <c r="B64">
        <v>6</v>
      </c>
      <c r="C64">
        <v>3</v>
      </c>
      <c r="D64">
        <v>1</v>
      </c>
      <c r="E64" t="s">
        <v>8</v>
      </c>
      <c r="F64" t="s">
        <v>5</v>
      </c>
      <c r="G64">
        <v>39913</v>
      </c>
      <c r="H64" t="s">
        <v>10</v>
      </c>
    </row>
    <row r="65" spans="1:8" hidden="1" x14ac:dyDescent="0.25">
      <c r="A65" t="str">
        <f>Table1[[#This Row],[Lineage]]&amp;"-"&amp;Table1[[#This Row],[Lineage]]</f>
        <v>6-6</v>
      </c>
      <c r="B65">
        <v>6</v>
      </c>
      <c r="C65">
        <v>4</v>
      </c>
      <c r="D65">
        <v>1</v>
      </c>
      <c r="E65" t="s">
        <v>8</v>
      </c>
      <c r="F65" t="s">
        <v>5</v>
      </c>
      <c r="G65">
        <v>97295</v>
      </c>
      <c r="H65" t="s">
        <v>10</v>
      </c>
    </row>
    <row r="66" spans="1:8" hidden="1" x14ac:dyDescent="0.25">
      <c r="A66" t="str">
        <f>Table1[[#This Row],[Lineage]]&amp;"-"&amp;Table1[[#This Row],[Lineage]]</f>
        <v>6-6</v>
      </c>
      <c r="B66">
        <v>6</v>
      </c>
      <c r="C66">
        <v>5</v>
      </c>
      <c r="D66">
        <v>1</v>
      </c>
      <c r="E66" t="s">
        <v>8</v>
      </c>
      <c r="F66" t="s">
        <v>5</v>
      </c>
      <c r="G66">
        <v>70417</v>
      </c>
      <c r="H66" t="s">
        <v>10</v>
      </c>
    </row>
    <row r="67" spans="1:8" hidden="1" x14ac:dyDescent="0.25">
      <c r="A67" t="str">
        <f>Table1[[#This Row],[Lineage]]&amp;"-"&amp;Table1[[#This Row],[Lineage]]</f>
        <v>6-6</v>
      </c>
      <c r="B67">
        <v>6</v>
      </c>
      <c r="C67">
        <v>6</v>
      </c>
      <c r="D67">
        <v>1</v>
      </c>
      <c r="E67" t="s">
        <v>8</v>
      </c>
      <c r="F67" t="s">
        <v>5</v>
      </c>
      <c r="G67">
        <v>86588</v>
      </c>
      <c r="H67" t="s">
        <v>10</v>
      </c>
    </row>
    <row r="68" spans="1:8" hidden="1" x14ac:dyDescent="0.25">
      <c r="A68" t="str">
        <f>Table1[[#This Row],[Lineage]]&amp;"-"&amp;Table1[[#This Row],[Lineage]]</f>
        <v>6-6</v>
      </c>
      <c r="B68">
        <v>6</v>
      </c>
      <c r="C68">
        <v>7</v>
      </c>
      <c r="D68">
        <v>1</v>
      </c>
      <c r="E68" t="s">
        <v>8</v>
      </c>
      <c r="F68" t="s">
        <v>5</v>
      </c>
      <c r="G68">
        <v>81669</v>
      </c>
      <c r="H68" t="s">
        <v>10</v>
      </c>
    </row>
    <row r="69" spans="1:8" hidden="1" x14ac:dyDescent="0.25">
      <c r="A69" t="str">
        <f>Table1[[#This Row],[Lineage]]&amp;"-"&amp;Table1[[#This Row],[Lineage]]</f>
        <v>6-6</v>
      </c>
      <c r="B69">
        <v>6</v>
      </c>
      <c r="C69">
        <v>8</v>
      </c>
      <c r="D69">
        <v>1</v>
      </c>
      <c r="E69" t="s">
        <v>8</v>
      </c>
      <c r="F69" t="s">
        <v>5</v>
      </c>
      <c r="G69">
        <v>37254</v>
      </c>
      <c r="H69" t="s">
        <v>10</v>
      </c>
    </row>
    <row r="70" spans="1:8" hidden="1" x14ac:dyDescent="0.25">
      <c r="A70" t="str">
        <f>Table1[[#This Row],[Lineage]]&amp;"-"&amp;Table1[[#This Row],[Lineage]]</f>
        <v>6-6</v>
      </c>
      <c r="B70">
        <v>6</v>
      </c>
      <c r="C70">
        <v>9</v>
      </c>
      <c r="D70">
        <v>1</v>
      </c>
      <c r="E70" t="s">
        <v>8</v>
      </c>
      <c r="F70" t="s">
        <v>5</v>
      </c>
      <c r="G70">
        <v>94164</v>
      </c>
      <c r="H70" t="s">
        <v>10</v>
      </c>
    </row>
    <row r="71" spans="1:8" hidden="1" x14ac:dyDescent="0.25">
      <c r="A71" t="str">
        <f>Table1[[#This Row],[Lineage]]&amp;"-"&amp;Table1[[#This Row],[Lineage]]</f>
        <v>6-6</v>
      </c>
      <c r="B71">
        <v>6</v>
      </c>
      <c r="C71">
        <v>10</v>
      </c>
      <c r="D71">
        <v>1</v>
      </c>
      <c r="E71" t="s">
        <v>8</v>
      </c>
      <c r="F71" t="s">
        <v>5</v>
      </c>
      <c r="G71">
        <v>43347</v>
      </c>
      <c r="H71" t="s">
        <v>10</v>
      </c>
    </row>
    <row r="72" spans="1:8" hidden="1" x14ac:dyDescent="0.25">
      <c r="A72" t="str">
        <f>Table1[[#This Row],[Lineage]]&amp;"-"&amp;Table1[[#This Row],[Lineage]]</f>
        <v>6-6</v>
      </c>
      <c r="B72">
        <v>6</v>
      </c>
      <c r="C72">
        <v>1</v>
      </c>
      <c r="D72">
        <v>2</v>
      </c>
      <c r="E72" t="s">
        <v>8</v>
      </c>
      <c r="F72" t="s">
        <v>5</v>
      </c>
      <c r="G72">
        <v>82486</v>
      </c>
      <c r="H72" t="s">
        <v>10</v>
      </c>
    </row>
    <row r="73" spans="1:8" hidden="1" x14ac:dyDescent="0.25">
      <c r="A73" t="str">
        <f>Table1[[#This Row],[Lineage]]&amp;"-"&amp;Table1[[#This Row],[Lineage]]</f>
        <v>6-6</v>
      </c>
      <c r="B73">
        <v>6</v>
      </c>
      <c r="C73">
        <v>2</v>
      </c>
      <c r="D73">
        <v>2</v>
      </c>
      <c r="E73" t="s">
        <v>8</v>
      </c>
      <c r="F73" t="s">
        <v>5</v>
      </c>
      <c r="G73">
        <v>71867</v>
      </c>
      <c r="H73" t="s">
        <v>10</v>
      </c>
    </row>
    <row r="74" spans="1:8" hidden="1" x14ac:dyDescent="0.25">
      <c r="A74" t="str">
        <f>Table1[[#This Row],[Lineage]]&amp;"-"&amp;Table1[[#This Row],[Lineage]]</f>
        <v>6-6</v>
      </c>
      <c r="B74">
        <v>6</v>
      </c>
      <c r="C74">
        <v>3</v>
      </c>
      <c r="D74">
        <v>2</v>
      </c>
      <c r="E74" t="s">
        <v>8</v>
      </c>
      <c r="F74" t="s">
        <v>5</v>
      </c>
      <c r="G74">
        <v>73876</v>
      </c>
      <c r="H74" t="s">
        <v>10</v>
      </c>
    </row>
    <row r="75" spans="1:8" hidden="1" x14ac:dyDescent="0.25">
      <c r="A75" t="str">
        <f>Table1[[#This Row],[Lineage]]&amp;"-"&amp;Table1[[#This Row],[Lineage]]</f>
        <v>6-6</v>
      </c>
      <c r="B75">
        <v>6</v>
      </c>
      <c r="C75">
        <v>4</v>
      </c>
      <c r="D75">
        <v>2</v>
      </c>
      <c r="E75" t="s">
        <v>8</v>
      </c>
      <c r="F75" t="s">
        <v>5</v>
      </c>
      <c r="G75">
        <v>46575</v>
      </c>
      <c r="H75" t="s">
        <v>10</v>
      </c>
    </row>
    <row r="76" spans="1:8" hidden="1" x14ac:dyDescent="0.25">
      <c r="A76" t="str">
        <f>Table1[[#This Row],[Lineage]]&amp;"-"&amp;Table1[[#This Row],[Lineage]]</f>
        <v>6-6</v>
      </c>
      <c r="B76">
        <v>6</v>
      </c>
      <c r="C76">
        <v>5</v>
      </c>
      <c r="D76">
        <v>2</v>
      </c>
      <c r="E76" t="s">
        <v>8</v>
      </c>
      <c r="F76" t="s">
        <v>5</v>
      </c>
      <c r="G76">
        <v>66335</v>
      </c>
      <c r="H76" t="s">
        <v>10</v>
      </c>
    </row>
    <row r="77" spans="1:8" hidden="1" x14ac:dyDescent="0.25">
      <c r="A77" t="str">
        <f>Table1[[#This Row],[Lineage]]&amp;"-"&amp;Table1[[#This Row],[Lineage]]</f>
        <v>6-6</v>
      </c>
      <c r="B77">
        <v>6</v>
      </c>
      <c r="C77">
        <v>6</v>
      </c>
      <c r="D77">
        <v>2</v>
      </c>
      <c r="E77" t="s">
        <v>8</v>
      </c>
      <c r="F77" t="s">
        <v>5</v>
      </c>
      <c r="G77">
        <v>66266</v>
      </c>
      <c r="H77" t="s">
        <v>10</v>
      </c>
    </row>
    <row r="78" spans="1:8" hidden="1" x14ac:dyDescent="0.25">
      <c r="A78" t="str">
        <f>Table1[[#This Row],[Lineage]]&amp;"-"&amp;Table1[[#This Row],[Lineage]]</f>
        <v>6-6</v>
      </c>
      <c r="B78">
        <v>6</v>
      </c>
      <c r="C78">
        <v>7</v>
      </c>
      <c r="D78">
        <v>2</v>
      </c>
      <c r="E78" t="s">
        <v>8</v>
      </c>
      <c r="F78" t="s">
        <v>5</v>
      </c>
      <c r="G78">
        <v>77188</v>
      </c>
      <c r="H78" t="s">
        <v>10</v>
      </c>
    </row>
    <row r="79" spans="1:8" hidden="1" x14ac:dyDescent="0.25">
      <c r="A79" t="str">
        <f>Table1[[#This Row],[Lineage]]&amp;"-"&amp;Table1[[#This Row],[Lineage]]</f>
        <v>6-6</v>
      </c>
      <c r="B79">
        <v>6</v>
      </c>
      <c r="C79">
        <v>8</v>
      </c>
      <c r="D79">
        <v>2</v>
      </c>
      <c r="E79" t="s">
        <v>8</v>
      </c>
      <c r="F79" t="s">
        <v>5</v>
      </c>
      <c r="G79">
        <v>70793</v>
      </c>
      <c r="H79" t="s">
        <v>10</v>
      </c>
    </row>
    <row r="80" spans="1:8" hidden="1" x14ac:dyDescent="0.25">
      <c r="A80" t="str">
        <f>Table1[[#This Row],[Lineage]]&amp;"-"&amp;Table1[[#This Row],[Lineage]]</f>
        <v>6-6</v>
      </c>
      <c r="B80">
        <v>6</v>
      </c>
      <c r="C80">
        <v>9</v>
      </c>
      <c r="D80">
        <v>2</v>
      </c>
      <c r="E80" t="s">
        <v>8</v>
      </c>
      <c r="F80" t="s">
        <v>5</v>
      </c>
      <c r="G80">
        <v>71372</v>
      </c>
      <c r="H80" t="s">
        <v>10</v>
      </c>
    </row>
    <row r="81" spans="1:8" hidden="1" x14ac:dyDescent="0.25">
      <c r="A81" t="str">
        <f>Table1[[#This Row],[Lineage]]&amp;"-"&amp;Table1[[#This Row],[Lineage]]</f>
        <v>6-6</v>
      </c>
      <c r="B81">
        <v>6</v>
      </c>
      <c r="C81">
        <v>10</v>
      </c>
      <c r="D81">
        <v>2</v>
      </c>
      <c r="E81" t="s">
        <v>8</v>
      </c>
      <c r="F81" t="s">
        <v>5</v>
      </c>
      <c r="G81">
        <v>124139</v>
      </c>
      <c r="H81" t="s">
        <v>10</v>
      </c>
    </row>
    <row r="82" spans="1:8" hidden="1" x14ac:dyDescent="0.25">
      <c r="A82" t="str">
        <f>Table1[[#This Row],[Lineage]]&amp;"-"&amp;Table1[[#This Row],[Lineage]]</f>
        <v>7-7</v>
      </c>
      <c r="B82">
        <v>7</v>
      </c>
      <c r="C82">
        <v>1</v>
      </c>
      <c r="D82">
        <v>1</v>
      </c>
      <c r="E82" t="s">
        <v>8</v>
      </c>
      <c r="F82" t="s">
        <v>9</v>
      </c>
      <c r="G82">
        <v>95661</v>
      </c>
      <c r="H82" t="s">
        <v>11</v>
      </c>
    </row>
    <row r="83" spans="1:8" hidden="1" x14ac:dyDescent="0.25">
      <c r="A83" t="str">
        <f>Table1[[#This Row],[Lineage]]&amp;"-"&amp;Table1[[#This Row],[Lineage]]</f>
        <v>7-7</v>
      </c>
      <c r="B83">
        <v>7</v>
      </c>
      <c r="C83">
        <v>2</v>
      </c>
      <c r="D83">
        <v>1</v>
      </c>
      <c r="E83" t="s">
        <v>8</v>
      </c>
      <c r="F83" t="s">
        <v>9</v>
      </c>
      <c r="G83">
        <v>40711</v>
      </c>
      <c r="H83" t="s">
        <v>11</v>
      </c>
    </row>
    <row r="84" spans="1:8" hidden="1" x14ac:dyDescent="0.25">
      <c r="A84" t="str">
        <f>Table1[[#This Row],[Lineage]]&amp;"-"&amp;Table1[[#This Row],[Lineage]]</f>
        <v>7-7</v>
      </c>
      <c r="B84">
        <v>7</v>
      </c>
      <c r="C84">
        <v>3</v>
      </c>
      <c r="D84">
        <v>1</v>
      </c>
      <c r="E84" t="s">
        <v>8</v>
      </c>
      <c r="F84" t="s">
        <v>9</v>
      </c>
      <c r="G84">
        <v>64949</v>
      </c>
      <c r="H84" t="s">
        <v>11</v>
      </c>
    </row>
    <row r="85" spans="1:8" hidden="1" x14ac:dyDescent="0.25">
      <c r="A85" t="str">
        <f>Table1[[#This Row],[Lineage]]&amp;"-"&amp;Table1[[#This Row],[Lineage]]</f>
        <v>7-7</v>
      </c>
      <c r="B85">
        <v>7</v>
      </c>
      <c r="C85">
        <v>4</v>
      </c>
      <c r="D85">
        <v>1</v>
      </c>
      <c r="E85" t="s">
        <v>8</v>
      </c>
      <c r="F85" t="s">
        <v>9</v>
      </c>
      <c r="G85">
        <v>89149</v>
      </c>
      <c r="H85" t="s">
        <v>11</v>
      </c>
    </row>
    <row r="86" spans="1:8" hidden="1" x14ac:dyDescent="0.25">
      <c r="A86" t="str">
        <f>Table1[[#This Row],[Lineage]]&amp;"-"&amp;Table1[[#This Row],[Lineage]]</f>
        <v>7-7</v>
      </c>
      <c r="B86">
        <v>7</v>
      </c>
      <c r="C86">
        <v>5</v>
      </c>
      <c r="D86">
        <v>1</v>
      </c>
      <c r="E86" t="s">
        <v>8</v>
      </c>
      <c r="F86" t="s">
        <v>9</v>
      </c>
      <c r="G86">
        <v>67101</v>
      </c>
      <c r="H86" t="s">
        <v>11</v>
      </c>
    </row>
    <row r="87" spans="1:8" hidden="1" x14ac:dyDescent="0.25">
      <c r="A87" t="str">
        <f>Table1[[#This Row],[Lineage]]&amp;"-"&amp;Table1[[#This Row],[Lineage]]</f>
        <v>7-7</v>
      </c>
      <c r="B87">
        <v>7</v>
      </c>
      <c r="C87">
        <v>1</v>
      </c>
      <c r="D87">
        <v>2</v>
      </c>
      <c r="E87" t="s">
        <v>8</v>
      </c>
      <c r="F87" t="s">
        <v>9</v>
      </c>
      <c r="G87">
        <v>81174</v>
      </c>
      <c r="H87" t="s">
        <v>11</v>
      </c>
    </row>
    <row r="88" spans="1:8" hidden="1" x14ac:dyDescent="0.25">
      <c r="A88" t="str">
        <f>Table1[[#This Row],[Lineage]]&amp;"-"&amp;Table1[[#This Row],[Lineage]]</f>
        <v>7-7</v>
      </c>
      <c r="B88">
        <v>7</v>
      </c>
      <c r="C88">
        <v>2</v>
      </c>
      <c r="D88">
        <v>2</v>
      </c>
      <c r="E88" t="s">
        <v>8</v>
      </c>
      <c r="F88" t="s">
        <v>9</v>
      </c>
      <c r="G88">
        <v>110177</v>
      </c>
      <c r="H88" t="s">
        <v>11</v>
      </c>
    </row>
    <row r="89" spans="1:8" hidden="1" x14ac:dyDescent="0.25">
      <c r="A89" t="str">
        <f>Table1[[#This Row],[Lineage]]&amp;"-"&amp;Table1[[#This Row],[Lineage]]</f>
        <v>7-7</v>
      </c>
      <c r="B89">
        <v>7</v>
      </c>
      <c r="C89">
        <v>3</v>
      </c>
      <c r="D89">
        <v>2</v>
      </c>
      <c r="E89" t="s">
        <v>8</v>
      </c>
      <c r="F89" t="s">
        <v>9</v>
      </c>
      <c r="G89">
        <v>79120</v>
      </c>
      <c r="H89" t="s">
        <v>11</v>
      </c>
    </row>
    <row r="90" spans="1:8" hidden="1" x14ac:dyDescent="0.25">
      <c r="A90" t="str">
        <f>Table1[[#This Row],[Lineage]]&amp;"-"&amp;Table1[[#This Row],[Lineage]]</f>
        <v>7-7</v>
      </c>
      <c r="B90">
        <v>7</v>
      </c>
      <c r="C90">
        <v>4</v>
      </c>
      <c r="D90">
        <v>2</v>
      </c>
      <c r="E90" t="s">
        <v>8</v>
      </c>
      <c r="F90" t="s">
        <v>9</v>
      </c>
      <c r="G90">
        <v>82957</v>
      </c>
      <c r="H90" t="s">
        <v>11</v>
      </c>
    </row>
    <row r="91" spans="1:8" hidden="1" x14ac:dyDescent="0.25">
      <c r="A91" t="str">
        <f>Table1[[#This Row],[Lineage]]&amp;"-"&amp;Table1[[#This Row],[Lineage]]</f>
        <v>7-7</v>
      </c>
      <c r="B91">
        <v>7</v>
      </c>
      <c r="C91">
        <v>5</v>
      </c>
      <c r="D91">
        <v>2</v>
      </c>
      <c r="E91" t="s">
        <v>8</v>
      </c>
      <c r="F91" t="s">
        <v>9</v>
      </c>
      <c r="G91">
        <v>69243</v>
      </c>
      <c r="H91" t="s">
        <v>11</v>
      </c>
    </row>
    <row r="92" spans="1:8" hidden="1" x14ac:dyDescent="0.25">
      <c r="A92" t="str">
        <f>Table1[[#This Row],[Lineage]]&amp;"-"&amp;Table1[[#This Row],[Lineage]]</f>
        <v>7-7</v>
      </c>
      <c r="B92">
        <v>7</v>
      </c>
      <c r="C92">
        <v>1</v>
      </c>
      <c r="D92">
        <v>3</v>
      </c>
      <c r="E92" t="s">
        <v>8</v>
      </c>
      <c r="F92" t="s">
        <v>9</v>
      </c>
      <c r="G92">
        <v>73510</v>
      </c>
      <c r="H92" t="s">
        <v>11</v>
      </c>
    </row>
    <row r="93" spans="1:8" hidden="1" x14ac:dyDescent="0.25">
      <c r="A93" t="str">
        <f>Table1[[#This Row],[Lineage]]&amp;"-"&amp;Table1[[#This Row],[Lineage]]</f>
        <v>7-7</v>
      </c>
      <c r="B93">
        <v>7</v>
      </c>
      <c r="C93">
        <v>2</v>
      </c>
      <c r="D93">
        <v>3</v>
      </c>
      <c r="E93" t="s">
        <v>8</v>
      </c>
      <c r="F93" t="s">
        <v>9</v>
      </c>
      <c r="G93">
        <v>35830</v>
      </c>
      <c r="H93" t="s">
        <v>11</v>
      </c>
    </row>
    <row r="94" spans="1:8" hidden="1" x14ac:dyDescent="0.25">
      <c r="A94" t="str">
        <f>Table1[[#This Row],[Lineage]]&amp;"-"&amp;Table1[[#This Row],[Lineage]]</f>
        <v>7-7</v>
      </c>
      <c r="B94">
        <v>7</v>
      </c>
      <c r="C94">
        <v>3</v>
      </c>
      <c r="D94">
        <v>3</v>
      </c>
      <c r="E94" t="s">
        <v>8</v>
      </c>
      <c r="F94" t="s">
        <v>9</v>
      </c>
      <c r="G94">
        <v>72282</v>
      </c>
      <c r="H94" t="s">
        <v>11</v>
      </c>
    </row>
    <row r="95" spans="1:8" hidden="1" x14ac:dyDescent="0.25">
      <c r="A95" t="str">
        <f>Table1[[#This Row],[Lineage]]&amp;"-"&amp;Table1[[#This Row],[Lineage]]</f>
        <v>7-7</v>
      </c>
      <c r="B95">
        <v>7</v>
      </c>
      <c r="C95">
        <v>4</v>
      </c>
      <c r="D95">
        <v>3</v>
      </c>
      <c r="E95" t="s">
        <v>8</v>
      </c>
      <c r="F95" t="s">
        <v>9</v>
      </c>
      <c r="G95">
        <v>81159</v>
      </c>
      <c r="H95" t="s">
        <v>11</v>
      </c>
    </row>
    <row r="96" spans="1:8" hidden="1" x14ac:dyDescent="0.25">
      <c r="A96" t="str">
        <f>Table1[[#This Row],[Lineage]]&amp;"-"&amp;Table1[[#This Row],[Lineage]]</f>
        <v>7-7</v>
      </c>
      <c r="B96">
        <v>7</v>
      </c>
      <c r="C96">
        <v>5</v>
      </c>
      <c r="D96">
        <v>3</v>
      </c>
      <c r="E96" t="s">
        <v>8</v>
      </c>
      <c r="F96" t="s">
        <v>9</v>
      </c>
      <c r="G96">
        <v>75047</v>
      </c>
      <c r="H96" t="s">
        <v>11</v>
      </c>
    </row>
    <row r="97" spans="1:8" hidden="1" x14ac:dyDescent="0.25">
      <c r="A97" t="str">
        <f>Table1[[#This Row],[Lineage]]&amp;"-"&amp;Table1[[#This Row],[Lineage]]</f>
        <v>8-8</v>
      </c>
      <c r="B97">
        <v>8</v>
      </c>
      <c r="C97">
        <v>1</v>
      </c>
      <c r="D97">
        <v>1</v>
      </c>
      <c r="E97" t="s">
        <v>8</v>
      </c>
      <c r="F97" t="s">
        <v>9</v>
      </c>
      <c r="G97">
        <v>40026</v>
      </c>
      <c r="H97" t="s">
        <v>11</v>
      </c>
    </row>
    <row r="98" spans="1:8" hidden="1" x14ac:dyDescent="0.25">
      <c r="A98" t="str">
        <f>Table1[[#This Row],[Lineage]]&amp;"-"&amp;Table1[[#This Row],[Lineage]]</f>
        <v>8-8</v>
      </c>
      <c r="B98">
        <v>8</v>
      </c>
      <c r="C98">
        <v>2</v>
      </c>
      <c r="D98">
        <v>1</v>
      </c>
      <c r="E98" t="s">
        <v>8</v>
      </c>
      <c r="F98" t="s">
        <v>9</v>
      </c>
      <c r="G98">
        <v>69850</v>
      </c>
      <c r="H98" t="s">
        <v>11</v>
      </c>
    </row>
    <row r="99" spans="1:8" hidden="1" x14ac:dyDescent="0.25">
      <c r="A99" t="str">
        <f>Table1[[#This Row],[Lineage]]&amp;"-"&amp;Table1[[#This Row],[Lineage]]</f>
        <v>8-8</v>
      </c>
      <c r="B99">
        <v>8</v>
      </c>
      <c r="C99">
        <v>3</v>
      </c>
      <c r="D99">
        <v>1</v>
      </c>
      <c r="E99" t="s">
        <v>8</v>
      </c>
      <c r="F99" t="s">
        <v>9</v>
      </c>
      <c r="G99">
        <v>81817</v>
      </c>
      <c r="H99" t="s">
        <v>11</v>
      </c>
    </row>
    <row r="100" spans="1:8" hidden="1" x14ac:dyDescent="0.25">
      <c r="A100" t="str">
        <f>Table1[[#This Row],[Lineage]]&amp;"-"&amp;Table1[[#This Row],[Lineage]]</f>
        <v>8-8</v>
      </c>
      <c r="B100">
        <v>8</v>
      </c>
      <c r="C100">
        <v>4</v>
      </c>
      <c r="D100">
        <v>1</v>
      </c>
      <c r="E100" t="s">
        <v>8</v>
      </c>
      <c r="F100" t="s">
        <v>9</v>
      </c>
      <c r="G100">
        <v>41789</v>
      </c>
      <c r="H100" t="s">
        <v>11</v>
      </c>
    </row>
    <row r="101" spans="1:8" hidden="1" x14ac:dyDescent="0.25">
      <c r="A101" t="str">
        <f>Table1[[#This Row],[Lineage]]&amp;"-"&amp;Table1[[#This Row],[Lineage]]</f>
        <v>8-8</v>
      </c>
      <c r="B101">
        <v>8</v>
      </c>
      <c r="C101">
        <v>5</v>
      </c>
      <c r="D101">
        <v>1</v>
      </c>
      <c r="E101" t="s">
        <v>8</v>
      </c>
      <c r="F101" t="s">
        <v>9</v>
      </c>
      <c r="G101">
        <v>83603</v>
      </c>
      <c r="H101" t="s">
        <v>11</v>
      </c>
    </row>
    <row r="102" spans="1:8" hidden="1" x14ac:dyDescent="0.25">
      <c r="A102" t="str">
        <f>Table1[[#This Row],[Lineage]]&amp;"-"&amp;Table1[[#This Row],[Lineage]]</f>
        <v>8-8</v>
      </c>
      <c r="B102">
        <v>8</v>
      </c>
      <c r="C102">
        <v>1</v>
      </c>
      <c r="D102">
        <v>2</v>
      </c>
      <c r="E102" t="s">
        <v>8</v>
      </c>
      <c r="F102" t="s">
        <v>9</v>
      </c>
      <c r="G102">
        <v>94298</v>
      </c>
      <c r="H102" t="s">
        <v>11</v>
      </c>
    </row>
    <row r="103" spans="1:8" hidden="1" x14ac:dyDescent="0.25">
      <c r="A103" t="str">
        <f>Table1[[#This Row],[Lineage]]&amp;"-"&amp;Table1[[#This Row],[Lineage]]</f>
        <v>8-8</v>
      </c>
      <c r="B103">
        <v>8</v>
      </c>
      <c r="C103">
        <v>2</v>
      </c>
      <c r="D103">
        <v>2</v>
      </c>
      <c r="E103" t="s">
        <v>8</v>
      </c>
      <c r="F103" t="s">
        <v>9</v>
      </c>
      <c r="G103">
        <v>67586</v>
      </c>
      <c r="H103" t="s">
        <v>11</v>
      </c>
    </row>
    <row r="104" spans="1:8" hidden="1" x14ac:dyDescent="0.25">
      <c r="A104" t="str">
        <f>Table1[[#This Row],[Lineage]]&amp;"-"&amp;Table1[[#This Row],[Lineage]]</f>
        <v>8-8</v>
      </c>
      <c r="B104">
        <v>8</v>
      </c>
      <c r="C104">
        <v>3</v>
      </c>
      <c r="D104">
        <v>2</v>
      </c>
      <c r="E104" t="s">
        <v>8</v>
      </c>
      <c r="F104" t="s">
        <v>9</v>
      </c>
      <c r="G104">
        <v>81205</v>
      </c>
      <c r="H104" t="s">
        <v>11</v>
      </c>
    </row>
    <row r="105" spans="1:8" hidden="1" x14ac:dyDescent="0.25">
      <c r="A105" t="str">
        <f>Table1[[#This Row],[Lineage]]&amp;"-"&amp;Table1[[#This Row],[Lineage]]</f>
        <v>8-8</v>
      </c>
      <c r="B105">
        <v>8</v>
      </c>
      <c r="C105">
        <v>4</v>
      </c>
      <c r="D105">
        <v>2</v>
      </c>
      <c r="E105" t="s">
        <v>8</v>
      </c>
      <c r="F105" t="s">
        <v>9</v>
      </c>
      <c r="G105">
        <v>123631</v>
      </c>
      <c r="H105" t="s">
        <v>11</v>
      </c>
    </row>
    <row r="106" spans="1:8" hidden="1" x14ac:dyDescent="0.25">
      <c r="A106" t="str">
        <f>Table1[[#This Row],[Lineage]]&amp;"-"&amp;Table1[[#This Row],[Lineage]]</f>
        <v>8-8</v>
      </c>
      <c r="B106">
        <v>8</v>
      </c>
      <c r="C106">
        <v>5</v>
      </c>
      <c r="D106">
        <v>2</v>
      </c>
      <c r="E106" t="s">
        <v>8</v>
      </c>
      <c r="F106" t="s">
        <v>9</v>
      </c>
      <c r="G106">
        <v>66892</v>
      </c>
      <c r="H106" t="s">
        <v>11</v>
      </c>
    </row>
    <row r="107" spans="1:8" hidden="1" x14ac:dyDescent="0.25">
      <c r="A107" t="str">
        <f>Table1[[#This Row],[Lineage]]&amp;"-"&amp;Table1[[#This Row],[Lineage]]</f>
        <v>8-8</v>
      </c>
      <c r="B107">
        <v>8</v>
      </c>
      <c r="C107">
        <v>1</v>
      </c>
      <c r="D107">
        <v>3</v>
      </c>
      <c r="E107" t="s">
        <v>8</v>
      </c>
      <c r="F107" t="s">
        <v>9</v>
      </c>
      <c r="G107">
        <v>75897</v>
      </c>
      <c r="H107" t="s">
        <v>11</v>
      </c>
    </row>
    <row r="108" spans="1:8" hidden="1" x14ac:dyDescent="0.25">
      <c r="A108" t="str">
        <f>Table1[[#This Row],[Lineage]]&amp;"-"&amp;Table1[[#This Row],[Lineage]]</f>
        <v>8-8</v>
      </c>
      <c r="B108">
        <v>8</v>
      </c>
      <c r="C108">
        <v>2</v>
      </c>
      <c r="D108">
        <v>3</v>
      </c>
      <c r="E108" t="s">
        <v>8</v>
      </c>
      <c r="F108" t="s">
        <v>9</v>
      </c>
      <c r="G108">
        <v>71876</v>
      </c>
      <c r="H108" t="s">
        <v>11</v>
      </c>
    </row>
    <row r="109" spans="1:8" hidden="1" x14ac:dyDescent="0.25">
      <c r="A109" t="str">
        <f>Table1[[#This Row],[Lineage]]&amp;"-"&amp;Table1[[#This Row],[Lineage]]</f>
        <v>8-8</v>
      </c>
      <c r="B109">
        <v>8</v>
      </c>
      <c r="C109">
        <v>3</v>
      </c>
      <c r="D109">
        <v>3</v>
      </c>
      <c r="E109" t="s">
        <v>8</v>
      </c>
      <c r="F109" t="s">
        <v>9</v>
      </c>
      <c r="G109">
        <v>76483</v>
      </c>
      <c r="H109" t="s">
        <v>11</v>
      </c>
    </row>
    <row r="110" spans="1:8" hidden="1" x14ac:dyDescent="0.25">
      <c r="A110" t="str">
        <f>Table1[[#This Row],[Lineage]]&amp;"-"&amp;Table1[[#This Row],[Lineage]]</f>
        <v>8-8</v>
      </c>
      <c r="B110">
        <v>8</v>
      </c>
      <c r="C110">
        <v>4</v>
      </c>
      <c r="D110">
        <v>3</v>
      </c>
      <c r="E110" t="s">
        <v>8</v>
      </c>
      <c r="F110" t="s">
        <v>9</v>
      </c>
      <c r="G110">
        <v>88378</v>
      </c>
      <c r="H110" t="s">
        <v>11</v>
      </c>
    </row>
    <row r="111" spans="1:8" hidden="1" x14ac:dyDescent="0.25">
      <c r="A111" t="str">
        <f>Table1[[#This Row],[Lineage]]&amp;"-"&amp;Table1[[#This Row],[Lineage]]</f>
        <v>8-8</v>
      </c>
      <c r="B111">
        <v>8</v>
      </c>
      <c r="C111">
        <v>5</v>
      </c>
      <c r="D111">
        <v>3</v>
      </c>
      <c r="E111" t="s">
        <v>8</v>
      </c>
      <c r="F111" t="s">
        <v>9</v>
      </c>
      <c r="G111">
        <v>72578</v>
      </c>
      <c r="H111" t="s">
        <v>11</v>
      </c>
    </row>
    <row r="112" spans="1:8" hidden="1" x14ac:dyDescent="0.25">
      <c r="A112" t="str">
        <f>Table1[[#This Row],[Lineage]]&amp;"-"&amp;Table1[[#This Row],[Lineage]]</f>
        <v>9-9</v>
      </c>
      <c r="B112">
        <v>9</v>
      </c>
      <c r="C112">
        <v>1</v>
      </c>
      <c r="D112">
        <v>1</v>
      </c>
      <c r="E112" t="s">
        <v>8</v>
      </c>
      <c r="F112" t="s">
        <v>9</v>
      </c>
      <c r="G112">
        <v>77142</v>
      </c>
      <c r="H112" t="s">
        <v>12</v>
      </c>
    </row>
    <row r="113" spans="1:8" hidden="1" x14ac:dyDescent="0.25">
      <c r="A113" t="str">
        <f>Table1[[#This Row],[Lineage]]&amp;"-"&amp;Table1[[#This Row],[Lineage]]</f>
        <v>9-9</v>
      </c>
      <c r="B113">
        <v>9</v>
      </c>
      <c r="C113">
        <v>2</v>
      </c>
      <c r="D113">
        <v>1</v>
      </c>
      <c r="E113" t="s">
        <v>8</v>
      </c>
      <c r="F113" t="s">
        <v>9</v>
      </c>
      <c r="G113">
        <v>72071</v>
      </c>
      <c r="H113" t="s">
        <v>12</v>
      </c>
    </row>
    <row r="114" spans="1:8" hidden="1" x14ac:dyDescent="0.25">
      <c r="A114" t="str">
        <f>Table1[[#This Row],[Lineage]]&amp;"-"&amp;Table1[[#This Row],[Lineage]]</f>
        <v>9-9</v>
      </c>
      <c r="B114">
        <v>9</v>
      </c>
      <c r="C114">
        <v>3</v>
      </c>
      <c r="D114">
        <v>1</v>
      </c>
      <c r="E114" t="s">
        <v>8</v>
      </c>
      <c r="F114" t="s">
        <v>9</v>
      </c>
      <c r="G114">
        <v>61715</v>
      </c>
      <c r="H114" t="s">
        <v>12</v>
      </c>
    </row>
    <row r="115" spans="1:8" hidden="1" x14ac:dyDescent="0.25">
      <c r="A115" t="str">
        <f>Table1[[#This Row],[Lineage]]&amp;"-"&amp;Table1[[#This Row],[Lineage]]</f>
        <v>9-9</v>
      </c>
      <c r="B115">
        <v>9</v>
      </c>
      <c r="C115">
        <v>4</v>
      </c>
      <c r="D115">
        <v>1</v>
      </c>
      <c r="E115" t="s">
        <v>8</v>
      </c>
      <c r="F115" t="s">
        <v>9</v>
      </c>
      <c r="G115">
        <v>45420</v>
      </c>
      <c r="H115" t="s">
        <v>12</v>
      </c>
    </row>
    <row r="116" spans="1:8" hidden="1" x14ac:dyDescent="0.25">
      <c r="A116" t="str">
        <f>Table1[[#This Row],[Lineage]]&amp;"-"&amp;Table1[[#This Row],[Lineage]]</f>
        <v>9-9</v>
      </c>
      <c r="B116">
        <v>9</v>
      </c>
      <c r="C116">
        <v>5</v>
      </c>
      <c r="D116">
        <v>1</v>
      </c>
      <c r="E116" t="s">
        <v>8</v>
      </c>
      <c r="F116" t="s">
        <v>9</v>
      </c>
      <c r="G116">
        <v>44524</v>
      </c>
      <c r="H116" t="s">
        <v>12</v>
      </c>
    </row>
    <row r="117" spans="1:8" hidden="1" x14ac:dyDescent="0.25">
      <c r="A117" t="str">
        <f>Table1[[#This Row],[Lineage]]&amp;"-"&amp;Table1[[#This Row],[Lineage]]</f>
        <v>9-9</v>
      </c>
      <c r="B117">
        <v>9</v>
      </c>
      <c r="C117">
        <v>6</v>
      </c>
      <c r="D117">
        <v>1</v>
      </c>
      <c r="E117" t="s">
        <v>8</v>
      </c>
      <c r="F117" t="s">
        <v>9</v>
      </c>
      <c r="G117">
        <v>45726</v>
      </c>
      <c r="H117" t="s">
        <v>12</v>
      </c>
    </row>
    <row r="118" spans="1:8" hidden="1" x14ac:dyDescent="0.25">
      <c r="A118" t="str">
        <f>Table1[[#This Row],[Lineage]]&amp;"-"&amp;Table1[[#This Row],[Lineage]]</f>
        <v>9-9</v>
      </c>
      <c r="B118">
        <v>9</v>
      </c>
      <c r="C118">
        <v>7</v>
      </c>
      <c r="D118">
        <v>1</v>
      </c>
      <c r="E118" t="s">
        <v>8</v>
      </c>
      <c r="F118" t="s">
        <v>9</v>
      </c>
      <c r="G118">
        <v>41382</v>
      </c>
      <c r="H118" t="s">
        <v>12</v>
      </c>
    </row>
    <row r="119" spans="1:8" hidden="1" x14ac:dyDescent="0.25">
      <c r="A119" t="str">
        <f>Table1[[#This Row],[Lineage]]&amp;"-"&amp;Table1[[#This Row],[Lineage]]</f>
        <v>9-9</v>
      </c>
      <c r="B119">
        <v>9</v>
      </c>
      <c r="C119">
        <v>8</v>
      </c>
      <c r="D119">
        <v>1</v>
      </c>
      <c r="E119" t="s">
        <v>8</v>
      </c>
      <c r="F119" t="s">
        <v>9</v>
      </c>
      <c r="G119">
        <v>44654</v>
      </c>
      <c r="H119" t="s">
        <v>12</v>
      </c>
    </row>
    <row r="120" spans="1:8" hidden="1" x14ac:dyDescent="0.25">
      <c r="A120" t="str">
        <f>Table1[[#This Row],[Lineage]]&amp;"-"&amp;Table1[[#This Row],[Lineage]]</f>
        <v>9-9</v>
      </c>
      <c r="B120">
        <v>9</v>
      </c>
      <c r="C120">
        <v>9</v>
      </c>
      <c r="D120">
        <v>1</v>
      </c>
      <c r="E120" t="s">
        <v>8</v>
      </c>
      <c r="F120" t="s">
        <v>9</v>
      </c>
      <c r="G120">
        <v>46792</v>
      </c>
      <c r="H120" t="s">
        <v>12</v>
      </c>
    </row>
    <row r="121" spans="1:8" hidden="1" x14ac:dyDescent="0.25">
      <c r="A121" t="str">
        <f>Table1[[#This Row],[Lineage]]&amp;"-"&amp;Table1[[#This Row],[Lineage]]</f>
        <v>9-9</v>
      </c>
      <c r="B121">
        <v>9</v>
      </c>
      <c r="C121">
        <v>10</v>
      </c>
      <c r="D121">
        <v>1</v>
      </c>
      <c r="E121" t="s">
        <v>8</v>
      </c>
      <c r="F121" t="s">
        <v>9</v>
      </c>
      <c r="G121">
        <v>63302</v>
      </c>
      <c r="H121" t="s">
        <v>12</v>
      </c>
    </row>
    <row r="122" spans="1:8" hidden="1" x14ac:dyDescent="0.25">
      <c r="A122" t="str">
        <f>Table1[[#This Row],[Lineage]]&amp;"-"&amp;Table1[[#This Row],[Lineage]]</f>
        <v>9-9</v>
      </c>
      <c r="B122">
        <v>9</v>
      </c>
      <c r="C122">
        <v>11</v>
      </c>
      <c r="D122">
        <v>1</v>
      </c>
      <c r="E122" t="s">
        <v>8</v>
      </c>
      <c r="F122" t="s">
        <v>9</v>
      </c>
      <c r="G122">
        <v>43767</v>
      </c>
      <c r="H122" t="s">
        <v>12</v>
      </c>
    </row>
    <row r="123" spans="1:8" hidden="1" x14ac:dyDescent="0.25">
      <c r="A123" t="str">
        <f>Table1[[#This Row],[Lineage]]&amp;"-"&amp;Table1[[#This Row],[Lineage]]</f>
        <v>9-9</v>
      </c>
      <c r="B123">
        <v>9</v>
      </c>
      <c r="C123">
        <v>12</v>
      </c>
      <c r="D123">
        <v>1</v>
      </c>
      <c r="E123" t="s">
        <v>8</v>
      </c>
      <c r="F123" t="s">
        <v>9</v>
      </c>
      <c r="G123">
        <v>71687</v>
      </c>
      <c r="H123" t="s">
        <v>12</v>
      </c>
    </row>
    <row r="124" spans="1:8" hidden="1" x14ac:dyDescent="0.25">
      <c r="A124" t="str">
        <f>Table1[[#This Row],[Lineage]]&amp;"-"&amp;Table1[[#This Row],[Lineage]]</f>
        <v>9-9</v>
      </c>
      <c r="B124">
        <v>9</v>
      </c>
      <c r="C124">
        <v>13</v>
      </c>
      <c r="D124">
        <v>1</v>
      </c>
      <c r="E124" t="s">
        <v>8</v>
      </c>
      <c r="F124" t="s">
        <v>9</v>
      </c>
      <c r="G124">
        <v>42147</v>
      </c>
      <c r="H124" t="s">
        <v>12</v>
      </c>
    </row>
    <row r="125" spans="1:8" hidden="1" x14ac:dyDescent="0.25">
      <c r="A125" t="str">
        <f>Table1[[#This Row],[Lineage]]&amp;"-"&amp;Table1[[#This Row],[Lineage]]</f>
        <v>9-9</v>
      </c>
      <c r="B125">
        <v>9</v>
      </c>
      <c r="C125">
        <v>14</v>
      </c>
      <c r="D125">
        <v>1</v>
      </c>
      <c r="E125" t="s">
        <v>8</v>
      </c>
      <c r="F125" t="s">
        <v>9</v>
      </c>
      <c r="G125">
        <v>47239</v>
      </c>
      <c r="H125" t="s">
        <v>12</v>
      </c>
    </row>
    <row r="126" spans="1:8" hidden="1" x14ac:dyDescent="0.25">
      <c r="A126" t="str">
        <f>Table1[[#This Row],[Lineage]]&amp;"-"&amp;Table1[[#This Row],[Lineage]]</f>
        <v>9-9</v>
      </c>
      <c r="B126">
        <v>9</v>
      </c>
      <c r="C126">
        <v>15</v>
      </c>
      <c r="D126">
        <v>1</v>
      </c>
      <c r="E126" t="s">
        <v>8</v>
      </c>
      <c r="F126" t="s">
        <v>9</v>
      </c>
      <c r="G126">
        <v>69409</v>
      </c>
      <c r="H126" t="s">
        <v>12</v>
      </c>
    </row>
    <row r="127" spans="1:8" hidden="1" x14ac:dyDescent="0.25">
      <c r="A127" t="str">
        <f>Table1[[#This Row],[Lineage]]&amp;"-"&amp;Table1[[#This Row],[Lineage]]</f>
        <v>9-9</v>
      </c>
      <c r="B127">
        <v>9</v>
      </c>
      <c r="C127">
        <v>16</v>
      </c>
      <c r="D127">
        <v>1</v>
      </c>
      <c r="E127" t="s">
        <v>8</v>
      </c>
      <c r="F127" t="s">
        <v>9</v>
      </c>
      <c r="G127">
        <v>44059</v>
      </c>
      <c r="H127" t="s">
        <v>12</v>
      </c>
    </row>
    <row r="128" spans="1:8" hidden="1" x14ac:dyDescent="0.25">
      <c r="A128" t="str">
        <f>Table1[[#This Row],[Lineage]]&amp;"-"&amp;Table1[[#This Row],[Lineage]]</f>
        <v>9-9</v>
      </c>
      <c r="B128">
        <v>9</v>
      </c>
      <c r="C128">
        <v>17</v>
      </c>
      <c r="D128">
        <v>1</v>
      </c>
      <c r="E128" t="s">
        <v>8</v>
      </c>
      <c r="F128" t="s">
        <v>9</v>
      </c>
      <c r="G128">
        <v>72602</v>
      </c>
      <c r="H128" t="s">
        <v>12</v>
      </c>
    </row>
    <row r="129" spans="1:8" hidden="1" x14ac:dyDescent="0.25">
      <c r="A129" t="str">
        <f>Table1[[#This Row],[Lineage]]&amp;"-"&amp;Table1[[#This Row],[Lineage]]</f>
        <v>9-9</v>
      </c>
      <c r="B129">
        <v>9</v>
      </c>
      <c r="C129">
        <v>18</v>
      </c>
      <c r="D129">
        <v>1</v>
      </c>
      <c r="E129" t="s">
        <v>8</v>
      </c>
      <c r="F129" t="s">
        <v>9</v>
      </c>
      <c r="G129">
        <v>74009</v>
      </c>
      <c r="H129" t="s">
        <v>12</v>
      </c>
    </row>
    <row r="130" spans="1:8" hidden="1" x14ac:dyDescent="0.25">
      <c r="A130" t="str">
        <f>Table1[[#This Row],[Lineage]]&amp;"-"&amp;Table1[[#This Row],[Lineage]]</f>
        <v>9-9</v>
      </c>
      <c r="B130">
        <v>9</v>
      </c>
      <c r="C130">
        <v>19</v>
      </c>
      <c r="D130">
        <v>1</v>
      </c>
      <c r="E130" t="s">
        <v>8</v>
      </c>
      <c r="F130" t="s">
        <v>9</v>
      </c>
      <c r="G130">
        <v>41172</v>
      </c>
      <c r="H130" t="s">
        <v>12</v>
      </c>
    </row>
    <row r="131" spans="1:8" hidden="1" x14ac:dyDescent="0.25">
      <c r="A131" t="str">
        <f>Table1[[#This Row],[Lineage]]&amp;"-"&amp;Table1[[#This Row],[Lineage]]</f>
        <v>9-9</v>
      </c>
      <c r="B131">
        <v>9</v>
      </c>
      <c r="C131">
        <v>20</v>
      </c>
      <c r="D131">
        <v>1</v>
      </c>
      <c r="E131" t="s">
        <v>8</v>
      </c>
      <c r="F131" t="s">
        <v>9</v>
      </c>
      <c r="G131">
        <v>73337</v>
      </c>
      <c r="H131" t="s">
        <v>12</v>
      </c>
    </row>
    <row r="132" spans="1:8" hidden="1" x14ac:dyDescent="0.25">
      <c r="A132" t="str">
        <f>Table1[[#This Row],[Lineage]]&amp;"-"&amp;Table1[[#This Row],[Lineage]]</f>
        <v>9-9</v>
      </c>
      <c r="B132">
        <v>9</v>
      </c>
      <c r="C132">
        <v>1</v>
      </c>
      <c r="D132">
        <v>2</v>
      </c>
      <c r="E132" t="s">
        <v>8</v>
      </c>
      <c r="F132" t="s">
        <v>9</v>
      </c>
      <c r="G132">
        <v>79604</v>
      </c>
      <c r="H132" t="s">
        <v>12</v>
      </c>
    </row>
    <row r="133" spans="1:8" hidden="1" x14ac:dyDescent="0.25">
      <c r="A133" t="str">
        <f>Table1[[#This Row],[Lineage]]&amp;"-"&amp;Table1[[#This Row],[Lineage]]</f>
        <v>9-9</v>
      </c>
      <c r="B133">
        <v>9</v>
      </c>
      <c r="C133">
        <v>2</v>
      </c>
      <c r="D133">
        <v>2</v>
      </c>
      <c r="E133" t="s">
        <v>8</v>
      </c>
      <c r="F133" t="s">
        <v>9</v>
      </c>
      <c r="G133">
        <v>72305</v>
      </c>
      <c r="H133" t="s">
        <v>12</v>
      </c>
    </row>
    <row r="134" spans="1:8" hidden="1" x14ac:dyDescent="0.25">
      <c r="A134" t="str">
        <f>Table1[[#This Row],[Lineage]]&amp;"-"&amp;Table1[[#This Row],[Lineage]]</f>
        <v>9-9</v>
      </c>
      <c r="B134">
        <v>9</v>
      </c>
      <c r="C134">
        <v>3</v>
      </c>
      <c r="D134">
        <v>2</v>
      </c>
      <c r="E134" t="s">
        <v>8</v>
      </c>
      <c r="F134" t="s">
        <v>9</v>
      </c>
      <c r="G134">
        <v>47500</v>
      </c>
      <c r="H134" t="s">
        <v>12</v>
      </c>
    </row>
    <row r="135" spans="1:8" hidden="1" x14ac:dyDescent="0.25">
      <c r="A135" t="str">
        <f>Table1[[#This Row],[Lineage]]&amp;"-"&amp;Table1[[#This Row],[Lineage]]</f>
        <v>9-9</v>
      </c>
      <c r="B135">
        <v>9</v>
      </c>
      <c r="C135">
        <v>4</v>
      </c>
      <c r="D135">
        <v>2</v>
      </c>
      <c r="E135" t="s">
        <v>8</v>
      </c>
      <c r="F135" t="s">
        <v>9</v>
      </c>
      <c r="G135">
        <v>59419</v>
      </c>
      <c r="H135" t="s">
        <v>12</v>
      </c>
    </row>
    <row r="136" spans="1:8" hidden="1" x14ac:dyDescent="0.25">
      <c r="A136" t="str">
        <f>Table1[[#This Row],[Lineage]]&amp;"-"&amp;Table1[[#This Row],[Lineage]]</f>
        <v>9-9</v>
      </c>
      <c r="B136">
        <v>9</v>
      </c>
      <c r="C136">
        <v>5</v>
      </c>
      <c r="D136">
        <v>2</v>
      </c>
      <c r="E136" t="s">
        <v>8</v>
      </c>
      <c r="F136" t="s">
        <v>9</v>
      </c>
      <c r="G136">
        <v>47149</v>
      </c>
      <c r="H136" t="s">
        <v>12</v>
      </c>
    </row>
    <row r="137" spans="1:8" hidden="1" x14ac:dyDescent="0.25">
      <c r="A137" t="str">
        <f>Table1[[#This Row],[Lineage]]&amp;"-"&amp;Table1[[#This Row],[Lineage]]</f>
        <v>9-9</v>
      </c>
      <c r="B137">
        <v>9</v>
      </c>
      <c r="C137">
        <v>6</v>
      </c>
      <c r="D137">
        <v>2</v>
      </c>
      <c r="E137" t="s">
        <v>8</v>
      </c>
      <c r="F137" t="s">
        <v>9</v>
      </c>
      <c r="G137">
        <v>60213</v>
      </c>
      <c r="H137" t="s">
        <v>12</v>
      </c>
    </row>
    <row r="138" spans="1:8" hidden="1" x14ac:dyDescent="0.25">
      <c r="A138" t="str">
        <f>Table1[[#This Row],[Lineage]]&amp;"-"&amp;Table1[[#This Row],[Lineage]]</f>
        <v>9-9</v>
      </c>
      <c r="B138">
        <v>9</v>
      </c>
      <c r="C138">
        <v>7</v>
      </c>
      <c r="D138">
        <v>2</v>
      </c>
      <c r="E138" t="s">
        <v>8</v>
      </c>
      <c r="F138" t="s">
        <v>9</v>
      </c>
      <c r="G138">
        <v>59809</v>
      </c>
      <c r="H138" t="s">
        <v>12</v>
      </c>
    </row>
    <row r="139" spans="1:8" hidden="1" x14ac:dyDescent="0.25">
      <c r="A139" t="str">
        <f>Table1[[#This Row],[Lineage]]&amp;"-"&amp;Table1[[#This Row],[Lineage]]</f>
        <v>9-9</v>
      </c>
      <c r="B139">
        <v>9</v>
      </c>
      <c r="C139">
        <v>8</v>
      </c>
      <c r="D139">
        <v>2</v>
      </c>
      <c r="E139" t="s">
        <v>8</v>
      </c>
      <c r="F139" t="s">
        <v>9</v>
      </c>
      <c r="G139">
        <v>59063</v>
      </c>
      <c r="H139" t="s">
        <v>12</v>
      </c>
    </row>
    <row r="140" spans="1:8" hidden="1" x14ac:dyDescent="0.25">
      <c r="A140" t="str">
        <f>Table1[[#This Row],[Lineage]]&amp;"-"&amp;Table1[[#This Row],[Lineage]]</f>
        <v>9-9</v>
      </c>
      <c r="B140">
        <v>9</v>
      </c>
      <c r="C140">
        <v>9</v>
      </c>
      <c r="D140">
        <v>2</v>
      </c>
      <c r="E140" t="s">
        <v>8</v>
      </c>
      <c r="F140" t="s">
        <v>9</v>
      </c>
      <c r="G140">
        <v>62381</v>
      </c>
      <c r="H140" t="s">
        <v>12</v>
      </c>
    </row>
    <row r="141" spans="1:8" hidden="1" x14ac:dyDescent="0.25">
      <c r="A141" t="str">
        <f>Table1[[#This Row],[Lineage]]&amp;"-"&amp;Table1[[#This Row],[Lineage]]</f>
        <v>9-9</v>
      </c>
      <c r="B141">
        <v>9</v>
      </c>
      <c r="C141">
        <v>10</v>
      </c>
      <c r="D141">
        <v>2</v>
      </c>
      <c r="E141" t="s">
        <v>8</v>
      </c>
      <c r="F141" t="s">
        <v>9</v>
      </c>
      <c r="G141">
        <v>70478</v>
      </c>
      <c r="H141" t="s">
        <v>12</v>
      </c>
    </row>
    <row r="142" spans="1:8" hidden="1" x14ac:dyDescent="0.25">
      <c r="A142" t="str">
        <f>Table1[[#This Row],[Lineage]]&amp;"-"&amp;Table1[[#This Row],[Lineage]]</f>
        <v>9-9</v>
      </c>
      <c r="B142">
        <v>9</v>
      </c>
      <c r="C142">
        <v>11</v>
      </c>
      <c r="D142">
        <v>2</v>
      </c>
      <c r="E142" t="s">
        <v>8</v>
      </c>
      <c r="F142" t="s">
        <v>9</v>
      </c>
      <c r="G142">
        <v>56063</v>
      </c>
      <c r="H142" t="s">
        <v>12</v>
      </c>
    </row>
    <row r="143" spans="1:8" hidden="1" x14ac:dyDescent="0.25">
      <c r="A143" t="str">
        <f>Table1[[#This Row],[Lineage]]&amp;"-"&amp;Table1[[#This Row],[Lineage]]</f>
        <v>9-9</v>
      </c>
      <c r="B143">
        <v>9</v>
      </c>
      <c r="C143">
        <v>12</v>
      </c>
      <c r="D143">
        <v>2</v>
      </c>
      <c r="E143" t="s">
        <v>8</v>
      </c>
      <c r="F143" t="s">
        <v>9</v>
      </c>
      <c r="G143">
        <v>73668</v>
      </c>
      <c r="H143" t="s">
        <v>12</v>
      </c>
    </row>
    <row r="144" spans="1:8" hidden="1" x14ac:dyDescent="0.25">
      <c r="A144" t="str">
        <f>Table1[[#This Row],[Lineage]]&amp;"-"&amp;Table1[[#This Row],[Lineage]]</f>
        <v>9-9</v>
      </c>
      <c r="B144">
        <v>9</v>
      </c>
      <c r="C144">
        <v>13</v>
      </c>
      <c r="D144">
        <v>2</v>
      </c>
      <c r="E144" t="s">
        <v>8</v>
      </c>
      <c r="F144" t="s">
        <v>9</v>
      </c>
      <c r="G144">
        <v>55366</v>
      </c>
      <c r="H144" t="s">
        <v>12</v>
      </c>
    </row>
    <row r="145" spans="1:8" hidden="1" x14ac:dyDescent="0.25">
      <c r="A145" t="str">
        <f>Table1[[#This Row],[Lineage]]&amp;"-"&amp;Table1[[#This Row],[Lineage]]</f>
        <v>9-9</v>
      </c>
      <c r="B145">
        <v>9</v>
      </c>
      <c r="C145">
        <v>14</v>
      </c>
      <c r="D145">
        <v>2</v>
      </c>
      <c r="E145" t="s">
        <v>8</v>
      </c>
      <c r="F145" t="s">
        <v>9</v>
      </c>
      <c r="G145">
        <v>61440</v>
      </c>
      <c r="H145" t="s">
        <v>12</v>
      </c>
    </row>
    <row r="146" spans="1:8" hidden="1" x14ac:dyDescent="0.25">
      <c r="A146" t="str">
        <f>Table1[[#This Row],[Lineage]]&amp;"-"&amp;Table1[[#This Row],[Lineage]]</f>
        <v>9-9</v>
      </c>
      <c r="B146">
        <v>9</v>
      </c>
      <c r="C146">
        <v>15</v>
      </c>
      <c r="D146">
        <v>2</v>
      </c>
      <c r="E146" t="s">
        <v>8</v>
      </c>
      <c r="F146" t="s">
        <v>9</v>
      </c>
      <c r="G146">
        <v>71571</v>
      </c>
      <c r="H146" t="s">
        <v>12</v>
      </c>
    </row>
    <row r="147" spans="1:8" hidden="1" x14ac:dyDescent="0.25">
      <c r="A147" t="str">
        <f>Table1[[#This Row],[Lineage]]&amp;"-"&amp;Table1[[#This Row],[Lineage]]</f>
        <v>9-9</v>
      </c>
      <c r="B147">
        <v>9</v>
      </c>
      <c r="C147">
        <v>16</v>
      </c>
      <c r="D147">
        <v>2</v>
      </c>
      <c r="E147" t="s">
        <v>8</v>
      </c>
      <c r="F147" t="s">
        <v>9</v>
      </c>
      <c r="G147">
        <v>57943</v>
      </c>
      <c r="H147" t="s">
        <v>12</v>
      </c>
    </row>
    <row r="148" spans="1:8" hidden="1" x14ac:dyDescent="0.25">
      <c r="A148" t="str">
        <f>Table1[[#This Row],[Lineage]]&amp;"-"&amp;Table1[[#This Row],[Lineage]]</f>
        <v>9-9</v>
      </c>
      <c r="B148">
        <v>9</v>
      </c>
      <c r="C148">
        <v>17</v>
      </c>
      <c r="D148">
        <v>2</v>
      </c>
      <c r="E148" t="s">
        <v>8</v>
      </c>
      <c r="F148" t="s">
        <v>9</v>
      </c>
      <c r="G148">
        <v>72541</v>
      </c>
      <c r="H148" t="s">
        <v>12</v>
      </c>
    </row>
    <row r="149" spans="1:8" hidden="1" x14ac:dyDescent="0.25">
      <c r="A149" t="str">
        <f>Table1[[#This Row],[Lineage]]&amp;"-"&amp;Table1[[#This Row],[Lineage]]</f>
        <v>9-9</v>
      </c>
      <c r="B149">
        <v>9</v>
      </c>
      <c r="C149">
        <v>18</v>
      </c>
      <c r="D149">
        <v>2</v>
      </c>
      <c r="E149" t="s">
        <v>8</v>
      </c>
      <c r="F149" t="s">
        <v>9</v>
      </c>
      <c r="G149">
        <v>67904</v>
      </c>
      <c r="H149" t="s">
        <v>12</v>
      </c>
    </row>
    <row r="150" spans="1:8" hidden="1" x14ac:dyDescent="0.25">
      <c r="A150" t="str">
        <f>Table1[[#This Row],[Lineage]]&amp;"-"&amp;Table1[[#This Row],[Lineage]]</f>
        <v>9-9</v>
      </c>
      <c r="B150">
        <v>9</v>
      </c>
      <c r="C150">
        <v>19</v>
      </c>
      <c r="D150">
        <v>2</v>
      </c>
      <c r="E150" t="s">
        <v>8</v>
      </c>
      <c r="F150" t="s">
        <v>9</v>
      </c>
      <c r="G150">
        <v>57830</v>
      </c>
      <c r="H150" t="s">
        <v>12</v>
      </c>
    </row>
    <row r="151" spans="1:8" hidden="1" x14ac:dyDescent="0.25">
      <c r="A151" t="str">
        <f>Table1[[#This Row],[Lineage]]&amp;"-"&amp;Table1[[#This Row],[Lineage]]</f>
        <v>9-9</v>
      </c>
      <c r="B151">
        <v>9</v>
      </c>
      <c r="C151">
        <v>20</v>
      </c>
      <c r="D151">
        <v>2</v>
      </c>
      <c r="E151" t="s">
        <v>8</v>
      </c>
      <c r="F151" t="s">
        <v>9</v>
      </c>
      <c r="G151">
        <v>70399</v>
      </c>
      <c r="H151" t="s">
        <v>12</v>
      </c>
    </row>
    <row r="152" spans="1:8" hidden="1" x14ac:dyDescent="0.25">
      <c r="A152" t="str">
        <f>Table1[[#This Row],[Lineage]]&amp;"-"&amp;Table1[[#This Row],[Lineage]]</f>
        <v>10-10</v>
      </c>
      <c r="B152">
        <v>10</v>
      </c>
      <c r="C152">
        <v>1</v>
      </c>
      <c r="D152">
        <v>1</v>
      </c>
      <c r="E152" t="s">
        <v>8</v>
      </c>
      <c r="F152" t="s">
        <v>9</v>
      </c>
      <c r="G152">
        <v>69765</v>
      </c>
      <c r="H152" t="s">
        <v>13</v>
      </c>
    </row>
    <row r="153" spans="1:8" hidden="1" x14ac:dyDescent="0.25">
      <c r="A153" t="str">
        <f>Table1[[#This Row],[Lineage]]&amp;"-"&amp;Table1[[#This Row],[Lineage]]</f>
        <v>10-10</v>
      </c>
      <c r="B153">
        <v>10</v>
      </c>
      <c r="C153">
        <v>2</v>
      </c>
      <c r="D153">
        <v>1</v>
      </c>
      <c r="E153" t="s">
        <v>8</v>
      </c>
      <c r="F153" t="s">
        <v>9</v>
      </c>
      <c r="G153">
        <v>117466</v>
      </c>
      <c r="H153" t="s">
        <v>13</v>
      </c>
    </row>
    <row r="154" spans="1:8" hidden="1" x14ac:dyDescent="0.25">
      <c r="A154" t="str">
        <f>Table1[[#This Row],[Lineage]]&amp;"-"&amp;Table1[[#This Row],[Lineage]]</f>
        <v>10-10</v>
      </c>
      <c r="B154">
        <v>10</v>
      </c>
      <c r="C154">
        <v>3</v>
      </c>
      <c r="D154">
        <v>1</v>
      </c>
      <c r="E154" t="s">
        <v>8</v>
      </c>
      <c r="F154" t="s">
        <v>9</v>
      </c>
      <c r="G154">
        <v>95238</v>
      </c>
      <c r="H154" t="s">
        <v>13</v>
      </c>
    </row>
    <row r="155" spans="1:8" hidden="1" x14ac:dyDescent="0.25">
      <c r="A155" t="str">
        <f>Table1[[#This Row],[Lineage]]&amp;"-"&amp;Table1[[#This Row],[Lineage]]</f>
        <v>10-10</v>
      </c>
      <c r="B155">
        <v>10</v>
      </c>
      <c r="C155">
        <v>4</v>
      </c>
      <c r="D155">
        <v>1</v>
      </c>
      <c r="E155" t="s">
        <v>8</v>
      </c>
      <c r="F155" t="s">
        <v>9</v>
      </c>
      <c r="G155">
        <v>124155</v>
      </c>
      <c r="H155" t="s">
        <v>13</v>
      </c>
    </row>
    <row r="156" spans="1:8" hidden="1" x14ac:dyDescent="0.25">
      <c r="A156" t="str">
        <f>Table1[[#This Row],[Lineage]]&amp;"-"&amp;Table1[[#This Row],[Lineage]]</f>
        <v>10-10</v>
      </c>
      <c r="B156">
        <v>10</v>
      </c>
      <c r="C156">
        <v>5</v>
      </c>
      <c r="D156">
        <v>1</v>
      </c>
      <c r="E156" t="s">
        <v>8</v>
      </c>
      <c r="F156" t="s">
        <v>9</v>
      </c>
      <c r="G156">
        <v>120409</v>
      </c>
      <c r="H156" t="s">
        <v>13</v>
      </c>
    </row>
    <row r="157" spans="1:8" hidden="1" x14ac:dyDescent="0.25">
      <c r="A157" t="str">
        <f>Table1[[#This Row],[Lineage]]&amp;"-"&amp;Table1[[#This Row],[Lineage]]</f>
        <v>10-10</v>
      </c>
      <c r="B157">
        <v>10</v>
      </c>
      <c r="C157">
        <v>6</v>
      </c>
      <c r="D157">
        <v>1</v>
      </c>
      <c r="E157" t="s">
        <v>8</v>
      </c>
      <c r="F157" t="s">
        <v>9</v>
      </c>
      <c r="G157">
        <v>133443</v>
      </c>
      <c r="H157" t="s">
        <v>13</v>
      </c>
    </row>
    <row r="158" spans="1:8" hidden="1" x14ac:dyDescent="0.25">
      <c r="A158" t="str">
        <f>Table1[[#This Row],[Lineage]]&amp;"-"&amp;Table1[[#This Row],[Lineage]]</f>
        <v>10-10</v>
      </c>
      <c r="B158">
        <v>10</v>
      </c>
      <c r="C158">
        <v>7</v>
      </c>
      <c r="D158">
        <v>1</v>
      </c>
      <c r="E158" t="s">
        <v>8</v>
      </c>
      <c r="F158" t="s">
        <v>9</v>
      </c>
      <c r="G158">
        <v>85406</v>
      </c>
      <c r="H158" t="s">
        <v>13</v>
      </c>
    </row>
    <row r="159" spans="1:8" hidden="1" x14ac:dyDescent="0.25">
      <c r="A159" t="str">
        <f>Table1[[#This Row],[Lineage]]&amp;"-"&amp;Table1[[#This Row],[Lineage]]</f>
        <v>10-10</v>
      </c>
      <c r="B159">
        <v>10</v>
      </c>
      <c r="C159">
        <v>8</v>
      </c>
      <c r="D159">
        <v>1</v>
      </c>
      <c r="E159" t="s">
        <v>8</v>
      </c>
      <c r="F159" t="s">
        <v>9</v>
      </c>
      <c r="G159">
        <v>82964</v>
      </c>
      <c r="H159" t="s">
        <v>13</v>
      </c>
    </row>
    <row r="160" spans="1:8" hidden="1" x14ac:dyDescent="0.25">
      <c r="A160" t="str">
        <f>Table1[[#This Row],[Lineage]]&amp;"-"&amp;Table1[[#This Row],[Lineage]]</f>
        <v>10-10</v>
      </c>
      <c r="B160">
        <v>10</v>
      </c>
      <c r="C160">
        <v>9</v>
      </c>
      <c r="D160">
        <v>1</v>
      </c>
      <c r="E160" t="s">
        <v>8</v>
      </c>
      <c r="F160" t="s">
        <v>9</v>
      </c>
      <c r="G160">
        <v>75069</v>
      </c>
      <c r="H160" t="s">
        <v>13</v>
      </c>
    </row>
    <row r="161" spans="1:8" hidden="1" x14ac:dyDescent="0.25">
      <c r="A161" t="str">
        <f>Table1[[#This Row],[Lineage]]&amp;"-"&amp;Table1[[#This Row],[Lineage]]</f>
        <v>10-10</v>
      </c>
      <c r="B161">
        <v>10</v>
      </c>
      <c r="C161">
        <v>10</v>
      </c>
      <c r="D161">
        <v>1</v>
      </c>
      <c r="E161" t="s">
        <v>8</v>
      </c>
      <c r="F161" t="s">
        <v>9</v>
      </c>
      <c r="G161">
        <v>69189</v>
      </c>
      <c r="H161" t="s">
        <v>13</v>
      </c>
    </row>
    <row r="162" spans="1:8" hidden="1" x14ac:dyDescent="0.25">
      <c r="A162" t="str">
        <f>Table1[[#This Row],[Lineage]]&amp;"-"&amp;Table1[[#This Row],[Lineage]]</f>
        <v>10-10</v>
      </c>
      <c r="B162">
        <v>10</v>
      </c>
      <c r="C162">
        <v>11</v>
      </c>
      <c r="D162">
        <v>1</v>
      </c>
      <c r="E162" t="s">
        <v>8</v>
      </c>
      <c r="F162" t="s">
        <v>9</v>
      </c>
      <c r="G162">
        <v>129633</v>
      </c>
      <c r="H162" t="s">
        <v>13</v>
      </c>
    </row>
    <row r="163" spans="1:8" hidden="1" x14ac:dyDescent="0.25">
      <c r="A163" t="str">
        <f>Table1[[#This Row],[Lineage]]&amp;"-"&amp;Table1[[#This Row],[Lineage]]</f>
        <v>10-10</v>
      </c>
      <c r="B163">
        <v>10</v>
      </c>
      <c r="C163">
        <v>12</v>
      </c>
      <c r="D163">
        <v>1</v>
      </c>
      <c r="E163" t="s">
        <v>8</v>
      </c>
      <c r="F163" t="s">
        <v>9</v>
      </c>
      <c r="G163">
        <v>114568</v>
      </c>
      <c r="H163" t="s">
        <v>13</v>
      </c>
    </row>
    <row r="164" spans="1:8" hidden="1" x14ac:dyDescent="0.25">
      <c r="A164" t="str">
        <f>Table1[[#This Row],[Lineage]]&amp;"-"&amp;Table1[[#This Row],[Lineage]]</f>
        <v>10-10</v>
      </c>
      <c r="B164">
        <v>10</v>
      </c>
      <c r="C164">
        <v>13</v>
      </c>
      <c r="D164">
        <v>1</v>
      </c>
      <c r="E164" t="s">
        <v>8</v>
      </c>
      <c r="F164" t="s">
        <v>9</v>
      </c>
      <c r="G164">
        <v>95418</v>
      </c>
      <c r="H164" t="s">
        <v>13</v>
      </c>
    </row>
    <row r="165" spans="1:8" hidden="1" x14ac:dyDescent="0.25">
      <c r="A165" t="str">
        <f>Table1[[#This Row],[Lineage]]&amp;"-"&amp;Table1[[#This Row],[Lineage]]</f>
        <v>10-10</v>
      </c>
      <c r="B165">
        <v>10</v>
      </c>
      <c r="C165">
        <v>14</v>
      </c>
      <c r="D165">
        <v>1</v>
      </c>
      <c r="E165" t="s">
        <v>8</v>
      </c>
      <c r="F165" t="s">
        <v>9</v>
      </c>
      <c r="G165">
        <v>92928</v>
      </c>
      <c r="H165" t="s">
        <v>13</v>
      </c>
    </row>
    <row r="166" spans="1:8" hidden="1" x14ac:dyDescent="0.25">
      <c r="A166" t="str">
        <f>Table1[[#This Row],[Lineage]]&amp;"-"&amp;Table1[[#This Row],[Lineage]]</f>
        <v>10-10</v>
      </c>
      <c r="B166">
        <v>10</v>
      </c>
      <c r="C166">
        <v>15</v>
      </c>
      <c r="D166">
        <v>1</v>
      </c>
      <c r="E166" t="s">
        <v>8</v>
      </c>
      <c r="F166" t="s">
        <v>9</v>
      </c>
      <c r="G166">
        <v>90479</v>
      </c>
      <c r="H166" t="s">
        <v>13</v>
      </c>
    </row>
    <row r="167" spans="1:8" hidden="1" x14ac:dyDescent="0.25">
      <c r="A167" t="str">
        <f>Table1[[#This Row],[Lineage]]&amp;"-"&amp;Table1[[#This Row],[Lineage]]</f>
        <v>10-10</v>
      </c>
      <c r="B167">
        <v>10</v>
      </c>
      <c r="C167">
        <v>16</v>
      </c>
      <c r="D167">
        <v>1</v>
      </c>
      <c r="E167" t="s">
        <v>8</v>
      </c>
      <c r="F167" t="s">
        <v>9</v>
      </c>
      <c r="G167">
        <v>107760</v>
      </c>
      <c r="H167" t="s">
        <v>13</v>
      </c>
    </row>
    <row r="168" spans="1:8" hidden="1" x14ac:dyDescent="0.25">
      <c r="A168" t="str">
        <f>Table1[[#This Row],[Lineage]]&amp;"-"&amp;Table1[[#This Row],[Lineage]]</f>
        <v>10-10</v>
      </c>
      <c r="B168">
        <v>10</v>
      </c>
      <c r="C168">
        <v>17</v>
      </c>
      <c r="D168">
        <v>1</v>
      </c>
      <c r="E168" t="s">
        <v>8</v>
      </c>
      <c r="F168" t="s">
        <v>9</v>
      </c>
      <c r="G168">
        <v>58633</v>
      </c>
      <c r="H168" t="s">
        <v>13</v>
      </c>
    </row>
    <row r="169" spans="1:8" hidden="1" x14ac:dyDescent="0.25">
      <c r="A169" t="str">
        <f>Table1[[#This Row],[Lineage]]&amp;"-"&amp;Table1[[#This Row],[Lineage]]</f>
        <v>10-10</v>
      </c>
      <c r="B169">
        <v>10</v>
      </c>
      <c r="C169">
        <v>18</v>
      </c>
      <c r="D169">
        <v>1</v>
      </c>
      <c r="E169" t="s">
        <v>8</v>
      </c>
      <c r="F169" t="s">
        <v>9</v>
      </c>
      <c r="G169">
        <v>94139</v>
      </c>
      <c r="H169" t="s">
        <v>13</v>
      </c>
    </row>
    <row r="170" spans="1:8" hidden="1" x14ac:dyDescent="0.25">
      <c r="A170" t="str">
        <f>Table1[[#This Row],[Lineage]]&amp;"-"&amp;Table1[[#This Row],[Lineage]]</f>
        <v>10-10</v>
      </c>
      <c r="B170">
        <v>10</v>
      </c>
      <c r="C170">
        <v>19</v>
      </c>
      <c r="D170">
        <v>1</v>
      </c>
      <c r="E170" t="s">
        <v>8</v>
      </c>
      <c r="F170" t="s">
        <v>9</v>
      </c>
      <c r="G170">
        <v>55891</v>
      </c>
      <c r="H170" t="s">
        <v>13</v>
      </c>
    </row>
    <row r="171" spans="1:8" hidden="1" x14ac:dyDescent="0.25">
      <c r="A171" t="str">
        <f>Table1[[#This Row],[Lineage]]&amp;"-"&amp;Table1[[#This Row],[Lineage]]</f>
        <v>10-10</v>
      </c>
      <c r="B171">
        <v>10</v>
      </c>
      <c r="C171">
        <v>20</v>
      </c>
      <c r="D171">
        <v>1</v>
      </c>
      <c r="E171" t="s">
        <v>8</v>
      </c>
      <c r="F171" t="s">
        <v>9</v>
      </c>
      <c r="G171">
        <v>53096</v>
      </c>
      <c r="H171" t="s">
        <v>13</v>
      </c>
    </row>
    <row r="172" spans="1:8" hidden="1" x14ac:dyDescent="0.25">
      <c r="A172" t="str">
        <f>Table1[[#This Row],[Lineage]]&amp;"-"&amp;Table1[[#This Row],[Lineage]]</f>
        <v>10-10</v>
      </c>
      <c r="B172">
        <v>10</v>
      </c>
      <c r="C172">
        <v>1</v>
      </c>
      <c r="D172">
        <v>2</v>
      </c>
      <c r="E172" t="s">
        <v>8</v>
      </c>
      <c r="F172" t="s">
        <v>9</v>
      </c>
      <c r="G172">
        <v>69191</v>
      </c>
      <c r="H172" t="s">
        <v>13</v>
      </c>
    </row>
    <row r="173" spans="1:8" x14ac:dyDescent="0.25">
      <c r="A173" t="str">
        <f>Table1[[#This Row],[Lineage]]&amp;"-"&amp;Table1[[#This Row],[Lineage]]</f>
        <v>10-10</v>
      </c>
      <c r="B173">
        <v>10</v>
      </c>
      <c r="C173">
        <v>2</v>
      </c>
      <c r="D173">
        <v>2</v>
      </c>
      <c r="E173" t="s">
        <v>8</v>
      </c>
      <c r="F173" t="s">
        <v>9</v>
      </c>
      <c r="G173">
        <v>150037</v>
      </c>
      <c r="H173" t="s">
        <v>13</v>
      </c>
    </row>
    <row r="174" spans="1:8" hidden="1" x14ac:dyDescent="0.25">
      <c r="A174" t="str">
        <f>Table1[[#This Row],[Lineage]]&amp;"-"&amp;Table1[[#This Row],[Lineage]]</f>
        <v>10-10</v>
      </c>
      <c r="B174">
        <v>10</v>
      </c>
      <c r="C174">
        <v>3</v>
      </c>
      <c r="D174">
        <v>2</v>
      </c>
      <c r="E174" t="s">
        <v>8</v>
      </c>
      <c r="F174" t="s">
        <v>9</v>
      </c>
      <c r="G174">
        <v>83909</v>
      </c>
      <c r="H174" t="s">
        <v>13</v>
      </c>
    </row>
    <row r="175" spans="1:8" hidden="1" x14ac:dyDescent="0.25">
      <c r="A175" t="str">
        <f>Table1[[#This Row],[Lineage]]&amp;"-"&amp;Table1[[#This Row],[Lineage]]</f>
        <v>10-10</v>
      </c>
      <c r="B175">
        <v>10</v>
      </c>
      <c r="C175">
        <v>4</v>
      </c>
      <c r="D175">
        <v>2</v>
      </c>
      <c r="E175" t="s">
        <v>8</v>
      </c>
      <c r="F175" t="s">
        <v>9</v>
      </c>
      <c r="G175">
        <v>114160</v>
      </c>
      <c r="H175" t="s">
        <v>13</v>
      </c>
    </row>
    <row r="176" spans="1:8" hidden="1" x14ac:dyDescent="0.25">
      <c r="A176" t="str">
        <f>Table1[[#This Row],[Lineage]]&amp;"-"&amp;Table1[[#This Row],[Lineage]]</f>
        <v>10-10</v>
      </c>
      <c r="B176">
        <v>10</v>
      </c>
      <c r="C176">
        <v>5</v>
      </c>
      <c r="D176">
        <v>2</v>
      </c>
      <c r="E176" t="s">
        <v>8</v>
      </c>
      <c r="F176" t="s">
        <v>9</v>
      </c>
      <c r="G176">
        <v>123817</v>
      </c>
      <c r="H176" t="s">
        <v>13</v>
      </c>
    </row>
    <row r="177" spans="1:8" hidden="1" x14ac:dyDescent="0.25">
      <c r="A177" t="str">
        <f>Table1[[#This Row],[Lineage]]&amp;"-"&amp;Table1[[#This Row],[Lineage]]</f>
        <v>10-10</v>
      </c>
      <c r="B177">
        <v>10</v>
      </c>
      <c r="C177">
        <v>6</v>
      </c>
      <c r="D177">
        <v>2</v>
      </c>
      <c r="E177" t="s">
        <v>8</v>
      </c>
      <c r="F177" t="s">
        <v>9</v>
      </c>
      <c r="G177">
        <v>132675</v>
      </c>
      <c r="H177" t="s">
        <v>13</v>
      </c>
    </row>
    <row r="178" spans="1:8" hidden="1" x14ac:dyDescent="0.25">
      <c r="A178" t="str">
        <f>Table1[[#This Row],[Lineage]]&amp;"-"&amp;Table1[[#This Row],[Lineage]]</f>
        <v>10-10</v>
      </c>
      <c r="B178">
        <v>10</v>
      </c>
      <c r="C178">
        <v>7</v>
      </c>
      <c r="D178">
        <v>2</v>
      </c>
      <c r="E178" t="s">
        <v>8</v>
      </c>
      <c r="F178" t="s">
        <v>9</v>
      </c>
      <c r="G178">
        <v>81474</v>
      </c>
      <c r="H178" t="s">
        <v>13</v>
      </c>
    </row>
    <row r="179" spans="1:8" hidden="1" x14ac:dyDescent="0.25">
      <c r="A179" t="str">
        <f>Table1[[#This Row],[Lineage]]&amp;"-"&amp;Table1[[#This Row],[Lineage]]</f>
        <v>10-10</v>
      </c>
      <c r="B179">
        <v>10</v>
      </c>
      <c r="C179">
        <v>8</v>
      </c>
      <c r="D179">
        <v>2</v>
      </c>
      <c r="E179" t="s">
        <v>8</v>
      </c>
      <c r="F179" t="s">
        <v>9</v>
      </c>
      <c r="G179">
        <v>99294</v>
      </c>
      <c r="H179" t="s">
        <v>13</v>
      </c>
    </row>
    <row r="180" spans="1:8" hidden="1" x14ac:dyDescent="0.25">
      <c r="A180" t="str">
        <f>Table1[[#This Row],[Lineage]]&amp;"-"&amp;Table1[[#This Row],[Lineage]]</f>
        <v>10-10</v>
      </c>
      <c r="B180">
        <v>10</v>
      </c>
      <c r="C180">
        <v>9</v>
      </c>
      <c r="D180">
        <v>2</v>
      </c>
      <c r="E180" t="s">
        <v>8</v>
      </c>
      <c r="F180" t="s">
        <v>9</v>
      </c>
      <c r="G180">
        <v>74800</v>
      </c>
      <c r="H180" t="s">
        <v>13</v>
      </c>
    </row>
    <row r="181" spans="1:8" hidden="1" x14ac:dyDescent="0.25">
      <c r="A181" t="str">
        <f>Table1[[#This Row],[Lineage]]&amp;"-"&amp;Table1[[#This Row],[Lineage]]</f>
        <v>10-10</v>
      </c>
      <c r="B181">
        <v>10</v>
      </c>
      <c r="C181">
        <v>10</v>
      </c>
      <c r="D181">
        <v>2</v>
      </c>
      <c r="E181" t="s">
        <v>8</v>
      </c>
      <c r="F181" t="s">
        <v>9</v>
      </c>
      <c r="G181">
        <v>114016</v>
      </c>
      <c r="H181" t="s">
        <v>13</v>
      </c>
    </row>
    <row r="182" spans="1:8" hidden="1" x14ac:dyDescent="0.25">
      <c r="A182" t="str">
        <f>Table1[[#This Row],[Lineage]]&amp;"-"&amp;Table1[[#This Row],[Lineage]]</f>
        <v>10-10</v>
      </c>
      <c r="B182">
        <v>10</v>
      </c>
      <c r="C182">
        <v>11</v>
      </c>
      <c r="D182">
        <v>2</v>
      </c>
      <c r="E182" t="s">
        <v>8</v>
      </c>
      <c r="F182" t="s">
        <v>9</v>
      </c>
      <c r="G182">
        <v>101864</v>
      </c>
      <c r="H182" t="s">
        <v>13</v>
      </c>
    </row>
    <row r="183" spans="1:8" hidden="1" x14ac:dyDescent="0.25">
      <c r="A183" t="str">
        <f>Table1[[#This Row],[Lineage]]&amp;"-"&amp;Table1[[#This Row],[Lineage]]</f>
        <v>10-10</v>
      </c>
      <c r="B183">
        <v>10</v>
      </c>
      <c r="C183">
        <v>12</v>
      </c>
      <c r="D183">
        <v>2</v>
      </c>
      <c r="E183" t="s">
        <v>8</v>
      </c>
      <c r="F183" t="s">
        <v>9</v>
      </c>
      <c r="G183">
        <v>100307</v>
      </c>
      <c r="H183" t="s">
        <v>13</v>
      </c>
    </row>
    <row r="184" spans="1:8" hidden="1" x14ac:dyDescent="0.25">
      <c r="A184" t="str">
        <f>Table1[[#This Row],[Lineage]]&amp;"-"&amp;Table1[[#This Row],[Lineage]]</f>
        <v>10-10</v>
      </c>
      <c r="B184">
        <v>10</v>
      </c>
      <c r="C184">
        <v>13</v>
      </c>
      <c r="D184">
        <v>2</v>
      </c>
      <c r="E184" t="s">
        <v>8</v>
      </c>
      <c r="F184" t="s">
        <v>9</v>
      </c>
      <c r="G184">
        <v>91300</v>
      </c>
      <c r="H184" t="s">
        <v>13</v>
      </c>
    </row>
    <row r="185" spans="1:8" hidden="1" x14ac:dyDescent="0.25">
      <c r="A185" t="str">
        <f>Table1[[#This Row],[Lineage]]&amp;"-"&amp;Table1[[#This Row],[Lineage]]</f>
        <v>10-10</v>
      </c>
      <c r="B185">
        <v>10</v>
      </c>
      <c r="C185">
        <v>14</v>
      </c>
      <c r="D185">
        <v>2</v>
      </c>
      <c r="E185" t="s">
        <v>8</v>
      </c>
      <c r="F185" t="s">
        <v>9</v>
      </c>
      <c r="G185">
        <v>78034</v>
      </c>
      <c r="H185" t="s">
        <v>13</v>
      </c>
    </row>
    <row r="186" spans="1:8" hidden="1" x14ac:dyDescent="0.25">
      <c r="A186" t="str">
        <f>Table1[[#This Row],[Lineage]]&amp;"-"&amp;Table1[[#This Row],[Lineage]]</f>
        <v>10-10</v>
      </c>
      <c r="B186">
        <v>10</v>
      </c>
      <c r="C186">
        <v>15</v>
      </c>
      <c r="D186">
        <v>2</v>
      </c>
      <c r="E186" t="s">
        <v>8</v>
      </c>
      <c r="F186" t="s">
        <v>9</v>
      </c>
      <c r="G186">
        <v>68788</v>
      </c>
      <c r="H186" t="s">
        <v>13</v>
      </c>
    </row>
    <row r="187" spans="1:8" hidden="1" x14ac:dyDescent="0.25">
      <c r="A187" t="str">
        <f>Table1[[#This Row],[Lineage]]&amp;"-"&amp;Table1[[#This Row],[Lineage]]</f>
        <v>10-10</v>
      </c>
      <c r="B187">
        <v>10</v>
      </c>
      <c r="C187">
        <v>16</v>
      </c>
      <c r="D187">
        <v>2</v>
      </c>
      <c r="E187" t="s">
        <v>8</v>
      </c>
      <c r="F187" t="s">
        <v>9</v>
      </c>
      <c r="G187">
        <v>63670</v>
      </c>
      <c r="H187" t="s">
        <v>13</v>
      </c>
    </row>
    <row r="188" spans="1:8" hidden="1" x14ac:dyDescent="0.25">
      <c r="A188" t="str">
        <f>Table1[[#This Row],[Lineage]]&amp;"-"&amp;Table1[[#This Row],[Lineage]]</f>
        <v>10-10</v>
      </c>
      <c r="B188">
        <v>10</v>
      </c>
      <c r="C188">
        <v>17</v>
      </c>
      <c r="D188">
        <v>2</v>
      </c>
      <c r="E188" t="s">
        <v>8</v>
      </c>
      <c r="F188" t="s">
        <v>9</v>
      </c>
      <c r="G188">
        <v>106782</v>
      </c>
      <c r="H188" t="s">
        <v>13</v>
      </c>
    </row>
    <row r="189" spans="1:8" hidden="1" x14ac:dyDescent="0.25">
      <c r="A189" t="str">
        <f>Table1[[#This Row],[Lineage]]&amp;"-"&amp;Table1[[#This Row],[Lineage]]</f>
        <v>10-10</v>
      </c>
      <c r="B189">
        <v>10</v>
      </c>
      <c r="C189">
        <v>18</v>
      </c>
      <c r="D189">
        <v>2</v>
      </c>
      <c r="E189" t="s">
        <v>8</v>
      </c>
      <c r="F189" t="s">
        <v>9</v>
      </c>
      <c r="G189">
        <v>99648</v>
      </c>
      <c r="H189" t="s">
        <v>13</v>
      </c>
    </row>
    <row r="190" spans="1:8" hidden="1" x14ac:dyDescent="0.25">
      <c r="A190" t="str">
        <f>Table1[[#This Row],[Lineage]]&amp;"-"&amp;Table1[[#This Row],[Lineage]]</f>
        <v>10-10</v>
      </c>
      <c r="B190">
        <v>10</v>
      </c>
      <c r="C190">
        <v>19</v>
      </c>
      <c r="D190">
        <v>2</v>
      </c>
      <c r="E190" t="s">
        <v>8</v>
      </c>
      <c r="F190" t="s">
        <v>9</v>
      </c>
      <c r="G190">
        <v>93871</v>
      </c>
      <c r="H190" t="s">
        <v>13</v>
      </c>
    </row>
    <row r="191" spans="1:8" hidden="1" x14ac:dyDescent="0.25">
      <c r="A191" t="str">
        <f>Table1[[#This Row],[Lineage]]&amp;"-"&amp;Table1[[#This Row],[Lineage]]</f>
        <v>10-10</v>
      </c>
      <c r="B191">
        <v>10</v>
      </c>
      <c r="C191">
        <v>20</v>
      </c>
      <c r="D191">
        <v>2</v>
      </c>
      <c r="E191" t="s">
        <v>8</v>
      </c>
      <c r="F191" t="s">
        <v>9</v>
      </c>
      <c r="G191">
        <v>85015</v>
      </c>
      <c r="H191" t="s">
        <v>13</v>
      </c>
    </row>
    <row r="192" spans="1:8" hidden="1" x14ac:dyDescent="0.25">
      <c r="A192" t="str">
        <f>Table1[[#This Row],[Lineage]]&amp;"-"&amp;Table1[[#This Row],[Lineage]]</f>
        <v>11-11</v>
      </c>
      <c r="B192">
        <v>11</v>
      </c>
      <c r="C192">
        <v>1</v>
      </c>
      <c r="D192">
        <v>1</v>
      </c>
      <c r="E192" t="s">
        <v>4</v>
      </c>
      <c r="F192" t="s">
        <v>9</v>
      </c>
      <c r="G192">
        <v>123178</v>
      </c>
      <c r="H192" t="s">
        <v>15</v>
      </c>
    </row>
    <row r="193" spans="1:8" hidden="1" x14ac:dyDescent="0.25">
      <c r="A193" t="str">
        <f>Table1[[#This Row],[Lineage]]&amp;"-"&amp;Table1[[#This Row],[Lineage]]</f>
        <v>11-11</v>
      </c>
      <c r="B193">
        <v>11</v>
      </c>
      <c r="C193">
        <v>2</v>
      </c>
      <c r="D193">
        <v>1</v>
      </c>
      <c r="E193" t="s">
        <v>4</v>
      </c>
      <c r="F193" t="s">
        <v>9</v>
      </c>
      <c r="G193">
        <v>74285</v>
      </c>
      <c r="H193" t="s">
        <v>15</v>
      </c>
    </row>
    <row r="194" spans="1:8" hidden="1" x14ac:dyDescent="0.25">
      <c r="A194" t="str">
        <f>Table1[[#This Row],[Lineage]]&amp;"-"&amp;Table1[[#This Row],[Lineage]]</f>
        <v>11-11</v>
      </c>
      <c r="B194">
        <v>11</v>
      </c>
      <c r="C194">
        <v>3</v>
      </c>
      <c r="D194">
        <v>1</v>
      </c>
      <c r="E194" t="s">
        <v>4</v>
      </c>
      <c r="F194" t="s">
        <v>9</v>
      </c>
      <c r="G194">
        <v>78595</v>
      </c>
      <c r="H194" t="s">
        <v>15</v>
      </c>
    </row>
    <row r="195" spans="1:8" hidden="1" x14ac:dyDescent="0.25">
      <c r="A195" t="str">
        <f>Table1[[#This Row],[Lineage]]&amp;"-"&amp;Table1[[#This Row],[Lineage]]</f>
        <v>11-11</v>
      </c>
      <c r="B195">
        <v>11</v>
      </c>
      <c r="C195">
        <v>4</v>
      </c>
      <c r="D195">
        <v>1</v>
      </c>
      <c r="E195" t="s">
        <v>4</v>
      </c>
      <c r="F195" t="s">
        <v>9</v>
      </c>
      <c r="G195">
        <v>108917</v>
      </c>
      <c r="H195" t="s">
        <v>15</v>
      </c>
    </row>
    <row r="196" spans="1:8" hidden="1" x14ac:dyDescent="0.25">
      <c r="A196" t="str">
        <f>Table1[[#This Row],[Lineage]]&amp;"-"&amp;Table1[[#This Row],[Lineage]]</f>
        <v>11-11</v>
      </c>
      <c r="B196">
        <v>11</v>
      </c>
      <c r="C196">
        <v>5</v>
      </c>
      <c r="D196">
        <v>1</v>
      </c>
      <c r="E196" t="s">
        <v>4</v>
      </c>
      <c r="F196" t="s">
        <v>9</v>
      </c>
      <c r="G196">
        <v>47747</v>
      </c>
      <c r="H196" t="s">
        <v>15</v>
      </c>
    </row>
    <row r="197" spans="1:8" hidden="1" x14ac:dyDescent="0.25">
      <c r="A197" t="str">
        <f>Table1[[#This Row],[Lineage]]&amp;"-"&amp;Table1[[#This Row],[Lineage]]</f>
        <v>11-11</v>
      </c>
      <c r="B197">
        <v>11</v>
      </c>
      <c r="C197">
        <v>1</v>
      </c>
      <c r="D197">
        <v>2</v>
      </c>
      <c r="E197" t="s">
        <v>4</v>
      </c>
      <c r="F197" t="s">
        <v>9</v>
      </c>
      <c r="G197">
        <v>97098</v>
      </c>
      <c r="H197" t="s">
        <v>15</v>
      </c>
    </row>
    <row r="198" spans="1:8" hidden="1" x14ac:dyDescent="0.25">
      <c r="A198" t="str">
        <f>Table1[[#This Row],[Lineage]]&amp;"-"&amp;Table1[[#This Row],[Lineage]]</f>
        <v>11-11</v>
      </c>
      <c r="B198">
        <v>11</v>
      </c>
      <c r="C198">
        <v>2</v>
      </c>
      <c r="D198">
        <v>2</v>
      </c>
      <c r="E198" t="s">
        <v>4</v>
      </c>
      <c r="F198" t="s">
        <v>9</v>
      </c>
      <c r="G198">
        <v>50614</v>
      </c>
      <c r="H198" t="s">
        <v>15</v>
      </c>
    </row>
    <row r="199" spans="1:8" hidden="1" x14ac:dyDescent="0.25">
      <c r="A199" t="str">
        <f>Table1[[#This Row],[Lineage]]&amp;"-"&amp;Table1[[#This Row],[Lineage]]</f>
        <v>11-11</v>
      </c>
      <c r="B199">
        <v>11</v>
      </c>
      <c r="C199">
        <v>3</v>
      </c>
      <c r="D199">
        <v>2</v>
      </c>
      <c r="E199" t="s">
        <v>4</v>
      </c>
      <c r="F199" t="s">
        <v>9</v>
      </c>
      <c r="G199">
        <v>73598</v>
      </c>
      <c r="H199" t="s">
        <v>15</v>
      </c>
    </row>
    <row r="200" spans="1:8" hidden="1" x14ac:dyDescent="0.25">
      <c r="A200" t="str">
        <f>Table1[[#This Row],[Lineage]]&amp;"-"&amp;Table1[[#This Row],[Lineage]]</f>
        <v>11-11</v>
      </c>
      <c r="B200">
        <v>11</v>
      </c>
      <c r="C200">
        <v>4</v>
      </c>
      <c r="D200">
        <v>2</v>
      </c>
      <c r="E200" t="s">
        <v>4</v>
      </c>
      <c r="F200" t="s">
        <v>9</v>
      </c>
      <c r="G200">
        <v>99245</v>
      </c>
      <c r="H200" t="s">
        <v>15</v>
      </c>
    </row>
    <row r="201" spans="1:8" hidden="1" x14ac:dyDescent="0.25">
      <c r="A201" t="str">
        <f>Table1[[#This Row],[Lineage]]&amp;"-"&amp;Table1[[#This Row],[Lineage]]</f>
        <v>11-11</v>
      </c>
      <c r="B201">
        <v>11</v>
      </c>
      <c r="C201">
        <v>5</v>
      </c>
      <c r="D201">
        <v>2</v>
      </c>
      <c r="E201" t="s">
        <v>4</v>
      </c>
      <c r="F201" t="s">
        <v>9</v>
      </c>
      <c r="G201">
        <v>58676</v>
      </c>
      <c r="H201" t="s">
        <v>15</v>
      </c>
    </row>
    <row r="202" spans="1:8" hidden="1" x14ac:dyDescent="0.25">
      <c r="A202" t="str">
        <f>Table1[[#This Row],[Lineage]]&amp;"-"&amp;Table1[[#This Row],[Lineage]]</f>
        <v>12-12</v>
      </c>
      <c r="B202">
        <v>12</v>
      </c>
      <c r="C202">
        <v>1</v>
      </c>
      <c r="D202">
        <v>1</v>
      </c>
      <c r="E202" t="s">
        <v>8</v>
      </c>
      <c r="F202" t="s">
        <v>9</v>
      </c>
      <c r="G202">
        <v>109270</v>
      </c>
      <c r="H202" t="s">
        <v>15</v>
      </c>
    </row>
    <row r="203" spans="1:8" hidden="1" x14ac:dyDescent="0.25">
      <c r="A203" t="str">
        <f>Table1[[#This Row],[Lineage]]&amp;"-"&amp;Table1[[#This Row],[Lineage]]</f>
        <v>12-12</v>
      </c>
      <c r="B203">
        <v>12</v>
      </c>
      <c r="C203">
        <v>2</v>
      </c>
      <c r="D203">
        <v>1</v>
      </c>
      <c r="E203" t="s">
        <v>8</v>
      </c>
      <c r="F203" t="s">
        <v>9</v>
      </c>
      <c r="G203">
        <v>88431</v>
      </c>
      <c r="H203" t="s">
        <v>15</v>
      </c>
    </row>
    <row r="204" spans="1:8" hidden="1" x14ac:dyDescent="0.25">
      <c r="A204" t="str">
        <f>Table1[[#This Row],[Lineage]]&amp;"-"&amp;Table1[[#This Row],[Lineage]]</f>
        <v>12-12</v>
      </c>
      <c r="B204">
        <v>12</v>
      </c>
      <c r="C204">
        <v>3</v>
      </c>
      <c r="D204">
        <v>1</v>
      </c>
      <c r="E204" t="s">
        <v>8</v>
      </c>
      <c r="F204" t="s">
        <v>9</v>
      </c>
      <c r="G204">
        <v>36245</v>
      </c>
      <c r="H204" t="s">
        <v>15</v>
      </c>
    </row>
    <row r="205" spans="1:8" hidden="1" x14ac:dyDescent="0.25">
      <c r="A205" t="str">
        <f>Table1[[#This Row],[Lineage]]&amp;"-"&amp;Table1[[#This Row],[Lineage]]</f>
        <v>12-12</v>
      </c>
      <c r="B205">
        <v>12</v>
      </c>
      <c r="C205">
        <v>4</v>
      </c>
      <c r="D205">
        <v>1</v>
      </c>
      <c r="E205" t="s">
        <v>8</v>
      </c>
      <c r="F205" t="s">
        <v>9</v>
      </c>
      <c r="G205">
        <v>43534</v>
      </c>
      <c r="H205" t="s">
        <v>15</v>
      </c>
    </row>
    <row r="206" spans="1:8" hidden="1" x14ac:dyDescent="0.25">
      <c r="A206" t="str">
        <f>Table1[[#This Row],[Lineage]]&amp;"-"&amp;Table1[[#This Row],[Lineage]]</f>
        <v>12-12</v>
      </c>
      <c r="B206">
        <v>12</v>
      </c>
      <c r="C206">
        <v>5</v>
      </c>
      <c r="D206">
        <v>1</v>
      </c>
      <c r="E206" t="s">
        <v>8</v>
      </c>
      <c r="F206" t="s">
        <v>9</v>
      </c>
      <c r="G206">
        <v>43746</v>
      </c>
      <c r="H206" t="s">
        <v>15</v>
      </c>
    </row>
    <row r="207" spans="1:8" hidden="1" x14ac:dyDescent="0.25">
      <c r="A207" t="str">
        <f>Table1[[#This Row],[Lineage]]&amp;"-"&amp;Table1[[#This Row],[Lineage]]</f>
        <v>12-12</v>
      </c>
      <c r="B207">
        <v>12</v>
      </c>
      <c r="C207">
        <v>1</v>
      </c>
      <c r="D207">
        <v>2</v>
      </c>
      <c r="E207" t="s">
        <v>8</v>
      </c>
      <c r="F207" t="s">
        <v>9</v>
      </c>
      <c r="G207">
        <v>121870</v>
      </c>
      <c r="H207" t="s">
        <v>15</v>
      </c>
    </row>
    <row r="208" spans="1:8" hidden="1" x14ac:dyDescent="0.25">
      <c r="A208" t="str">
        <f>Table1[[#This Row],[Lineage]]&amp;"-"&amp;Table1[[#This Row],[Lineage]]</f>
        <v>12-12</v>
      </c>
      <c r="B208">
        <v>12</v>
      </c>
      <c r="C208">
        <v>2</v>
      </c>
      <c r="D208">
        <v>2</v>
      </c>
      <c r="E208" t="s">
        <v>8</v>
      </c>
      <c r="F208" t="s">
        <v>9</v>
      </c>
      <c r="G208">
        <v>85169</v>
      </c>
      <c r="H208" t="s">
        <v>15</v>
      </c>
    </row>
    <row r="209" spans="1:8" hidden="1" x14ac:dyDescent="0.25">
      <c r="A209" t="str">
        <f>Table1[[#This Row],[Lineage]]&amp;"-"&amp;Table1[[#This Row],[Lineage]]</f>
        <v>12-12</v>
      </c>
      <c r="B209">
        <v>12</v>
      </c>
      <c r="C209">
        <v>3</v>
      </c>
      <c r="D209">
        <v>2</v>
      </c>
      <c r="E209" t="s">
        <v>8</v>
      </c>
      <c r="F209" t="s">
        <v>9</v>
      </c>
      <c r="G209">
        <v>50254</v>
      </c>
      <c r="H209" t="s">
        <v>15</v>
      </c>
    </row>
    <row r="210" spans="1:8" hidden="1" x14ac:dyDescent="0.25">
      <c r="A210" t="str">
        <f>Table1[[#This Row],[Lineage]]&amp;"-"&amp;Table1[[#This Row],[Lineage]]</f>
        <v>12-12</v>
      </c>
      <c r="B210">
        <v>12</v>
      </c>
      <c r="C210">
        <v>4</v>
      </c>
      <c r="D210">
        <v>2</v>
      </c>
      <c r="E210" t="s">
        <v>8</v>
      </c>
      <c r="F210" t="s">
        <v>9</v>
      </c>
      <c r="G210">
        <v>76516</v>
      </c>
      <c r="H210" t="s">
        <v>15</v>
      </c>
    </row>
    <row r="211" spans="1:8" hidden="1" x14ac:dyDescent="0.25">
      <c r="A211" t="str">
        <f>Table1[[#This Row],[Lineage]]&amp;"-"&amp;Table1[[#This Row],[Lineage]]</f>
        <v>12-12</v>
      </c>
      <c r="B211">
        <v>12</v>
      </c>
      <c r="C211">
        <v>5</v>
      </c>
      <c r="D211">
        <v>2</v>
      </c>
      <c r="E211" t="s">
        <v>8</v>
      </c>
      <c r="F211" t="s">
        <v>9</v>
      </c>
      <c r="G211">
        <v>98742</v>
      </c>
      <c r="H211" t="s">
        <v>15</v>
      </c>
    </row>
    <row r="212" spans="1:8" hidden="1" x14ac:dyDescent="0.25">
      <c r="A212" t="str">
        <f>Table1[[#This Row],[Lineage]]&amp;"-"&amp;Table1[[#This Row],[Lineage]]</f>
        <v>13-13</v>
      </c>
      <c r="B212">
        <v>13</v>
      </c>
      <c r="C212">
        <v>1</v>
      </c>
      <c r="D212">
        <v>1</v>
      </c>
      <c r="E212" t="s">
        <v>8</v>
      </c>
      <c r="F212" t="s">
        <v>9</v>
      </c>
      <c r="G212">
        <v>41157</v>
      </c>
      <c r="H212" t="s">
        <v>16</v>
      </c>
    </row>
    <row r="213" spans="1:8" hidden="1" x14ac:dyDescent="0.25">
      <c r="A213" t="str">
        <f>Table1[[#This Row],[Lineage]]&amp;"-"&amp;Table1[[#This Row],[Lineage]]</f>
        <v>13-13</v>
      </c>
      <c r="B213">
        <v>13</v>
      </c>
      <c r="C213">
        <v>2</v>
      </c>
      <c r="D213">
        <v>1</v>
      </c>
      <c r="E213" t="s">
        <v>8</v>
      </c>
      <c r="F213" t="s">
        <v>9</v>
      </c>
      <c r="G213">
        <v>52990</v>
      </c>
      <c r="H213" t="s">
        <v>16</v>
      </c>
    </row>
    <row r="214" spans="1:8" hidden="1" x14ac:dyDescent="0.25">
      <c r="A214" t="str">
        <f>Table1[[#This Row],[Lineage]]&amp;"-"&amp;Table1[[#This Row],[Lineage]]</f>
        <v>13-13</v>
      </c>
      <c r="B214">
        <v>13</v>
      </c>
      <c r="C214">
        <v>3</v>
      </c>
      <c r="D214">
        <v>1</v>
      </c>
      <c r="E214" t="s">
        <v>8</v>
      </c>
      <c r="F214" t="s">
        <v>9</v>
      </c>
      <c r="G214">
        <v>43534</v>
      </c>
      <c r="H214" t="s">
        <v>16</v>
      </c>
    </row>
    <row r="215" spans="1:8" hidden="1" x14ac:dyDescent="0.25">
      <c r="A215" t="str">
        <f>Table1[[#This Row],[Lineage]]&amp;"-"&amp;Table1[[#This Row],[Lineage]]</f>
        <v>13-13</v>
      </c>
      <c r="B215">
        <v>13</v>
      </c>
      <c r="C215">
        <v>1</v>
      </c>
      <c r="D215">
        <v>2</v>
      </c>
      <c r="E215" t="s">
        <v>8</v>
      </c>
      <c r="F215" t="s">
        <v>9</v>
      </c>
      <c r="G215">
        <v>51297</v>
      </c>
      <c r="H215" t="s">
        <v>16</v>
      </c>
    </row>
    <row r="216" spans="1:8" hidden="1" x14ac:dyDescent="0.25">
      <c r="A216" t="str">
        <f>Table1[[#This Row],[Lineage]]&amp;"-"&amp;Table1[[#This Row],[Lineage]]</f>
        <v>13-13</v>
      </c>
      <c r="B216">
        <v>13</v>
      </c>
      <c r="C216">
        <v>2</v>
      </c>
      <c r="D216">
        <v>2</v>
      </c>
      <c r="E216" t="s">
        <v>8</v>
      </c>
      <c r="F216" t="s">
        <v>9</v>
      </c>
      <c r="G216">
        <v>48252</v>
      </c>
      <c r="H216" t="s">
        <v>16</v>
      </c>
    </row>
    <row r="217" spans="1:8" hidden="1" x14ac:dyDescent="0.25">
      <c r="A217" t="str">
        <f>Table1[[#This Row],[Lineage]]&amp;"-"&amp;Table1[[#This Row],[Lineage]]</f>
        <v>13-13</v>
      </c>
      <c r="B217">
        <v>13</v>
      </c>
      <c r="C217">
        <v>3</v>
      </c>
      <c r="D217">
        <v>2</v>
      </c>
      <c r="E217" t="s">
        <v>8</v>
      </c>
      <c r="F217" t="s">
        <v>9</v>
      </c>
      <c r="G217">
        <v>43878</v>
      </c>
      <c r="H217" t="s">
        <v>16</v>
      </c>
    </row>
    <row r="218" spans="1:8" hidden="1" x14ac:dyDescent="0.25">
      <c r="A218" t="str">
        <f>Table1[[#This Row],[Lineage]]&amp;"-"&amp;Table1[[#This Row],[Lineage]]</f>
        <v>14-14</v>
      </c>
      <c r="B218">
        <v>14</v>
      </c>
      <c r="C218">
        <v>1</v>
      </c>
      <c r="D218">
        <v>1</v>
      </c>
      <c r="E218" t="s">
        <v>4</v>
      </c>
      <c r="F218" t="s">
        <v>5</v>
      </c>
      <c r="G218">
        <v>76022</v>
      </c>
      <c r="H218" t="s">
        <v>17</v>
      </c>
    </row>
    <row r="219" spans="1:8" hidden="1" x14ac:dyDescent="0.25">
      <c r="A219" t="str">
        <f>Table1[[#This Row],[Lineage]]&amp;"-"&amp;Table1[[#This Row],[Lineage]]</f>
        <v>14-14</v>
      </c>
      <c r="B219">
        <v>14</v>
      </c>
      <c r="C219">
        <v>2</v>
      </c>
      <c r="D219">
        <v>1</v>
      </c>
      <c r="E219" t="s">
        <v>4</v>
      </c>
      <c r="F219" t="s">
        <v>5</v>
      </c>
      <c r="G219">
        <v>43851</v>
      </c>
      <c r="H219" t="s">
        <v>17</v>
      </c>
    </row>
    <row r="220" spans="1:8" hidden="1" x14ac:dyDescent="0.25">
      <c r="A220" t="str">
        <f>Table1[[#This Row],[Lineage]]&amp;"-"&amp;Table1[[#This Row],[Lineage]]</f>
        <v>14-14</v>
      </c>
      <c r="B220">
        <v>14</v>
      </c>
      <c r="C220">
        <v>3</v>
      </c>
      <c r="D220">
        <v>1</v>
      </c>
      <c r="E220" t="s">
        <v>4</v>
      </c>
      <c r="F220" t="s">
        <v>5</v>
      </c>
      <c r="G220">
        <v>47292</v>
      </c>
      <c r="H220" t="s">
        <v>17</v>
      </c>
    </row>
    <row r="221" spans="1:8" hidden="1" x14ac:dyDescent="0.25">
      <c r="A221" t="str">
        <f>Table1[[#This Row],[Lineage]]&amp;"-"&amp;Table1[[#This Row],[Lineage]]</f>
        <v>14-14</v>
      </c>
      <c r="B221">
        <v>14</v>
      </c>
      <c r="C221">
        <v>4</v>
      </c>
      <c r="D221">
        <v>1</v>
      </c>
      <c r="E221" t="s">
        <v>4</v>
      </c>
      <c r="F221" t="s">
        <v>5</v>
      </c>
      <c r="G221">
        <v>40370</v>
      </c>
      <c r="H221" t="s">
        <v>17</v>
      </c>
    </row>
    <row r="222" spans="1:8" hidden="1" x14ac:dyDescent="0.25">
      <c r="A222" t="str">
        <f>Table1[[#This Row],[Lineage]]&amp;"-"&amp;Table1[[#This Row],[Lineage]]</f>
        <v>14-14</v>
      </c>
      <c r="B222">
        <v>14</v>
      </c>
      <c r="C222">
        <v>5</v>
      </c>
      <c r="D222">
        <v>1</v>
      </c>
      <c r="E222" t="s">
        <v>4</v>
      </c>
      <c r="F222" t="s">
        <v>5</v>
      </c>
      <c r="G222">
        <v>39145</v>
      </c>
      <c r="H222" t="s">
        <v>17</v>
      </c>
    </row>
    <row r="223" spans="1:8" hidden="1" x14ac:dyDescent="0.25">
      <c r="A223" t="str">
        <f>Table1[[#This Row],[Lineage]]&amp;"-"&amp;Table1[[#This Row],[Lineage]]</f>
        <v>14-14</v>
      </c>
      <c r="B223">
        <v>14</v>
      </c>
      <c r="C223">
        <v>6</v>
      </c>
      <c r="D223">
        <v>1</v>
      </c>
      <c r="E223" t="s">
        <v>4</v>
      </c>
      <c r="F223" t="s">
        <v>5</v>
      </c>
      <c r="G223">
        <v>41028</v>
      </c>
      <c r="H223" t="s">
        <v>17</v>
      </c>
    </row>
    <row r="224" spans="1:8" hidden="1" x14ac:dyDescent="0.25">
      <c r="A224" t="str">
        <f>Table1[[#This Row],[Lineage]]&amp;"-"&amp;Table1[[#This Row],[Lineage]]</f>
        <v>14-14</v>
      </c>
      <c r="B224">
        <v>14</v>
      </c>
      <c r="C224">
        <v>7</v>
      </c>
      <c r="D224">
        <v>1</v>
      </c>
      <c r="E224" t="s">
        <v>4</v>
      </c>
      <c r="F224" t="s">
        <v>5</v>
      </c>
      <c r="G224">
        <v>41732</v>
      </c>
      <c r="H224" t="s">
        <v>17</v>
      </c>
    </row>
    <row r="225" spans="1:8" hidden="1" x14ac:dyDescent="0.25">
      <c r="A225" t="str">
        <f>Table1[[#This Row],[Lineage]]&amp;"-"&amp;Table1[[#This Row],[Lineage]]</f>
        <v>14-14</v>
      </c>
      <c r="B225">
        <v>14</v>
      </c>
      <c r="C225">
        <v>8</v>
      </c>
      <c r="D225">
        <v>1</v>
      </c>
      <c r="E225" t="s">
        <v>4</v>
      </c>
      <c r="F225" t="s">
        <v>5</v>
      </c>
      <c r="G225">
        <v>38461</v>
      </c>
      <c r="H225" t="s">
        <v>17</v>
      </c>
    </row>
    <row r="226" spans="1:8" hidden="1" x14ac:dyDescent="0.25">
      <c r="A226" t="str">
        <f>Table1[[#This Row],[Lineage]]&amp;"-"&amp;Table1[[#This Row],[Lineage]]</f>
        <v>14-14</v>
      </c>
      <c r="B226">
        <v>14</v>
      </c>
      <c r="C226">
        <v>9</v>
      </c>
      <c r="D226">
        <v>1</v>
      </c>
      <c r="E226" t="s">
        <v>4</v>
      </c>
      <c r="F226" t="s">
        <v>5</v>
      </c>
      <c r="G226">
        <v>66320</v>
      </c>
      <c r="H226" t="s">
        <v>17</v>
      </c>
    </row>
    <row r="227" spans="1:8" hidden="1" x14ac:dyDescent="0.25">
      <c r="A227" t="str">
        <f>Table1[[#This Row],[Lineage]]&amp;"-"&amp;Table1[[#This Row],[Lineage]]</f>
        <v>14-14</v>
      </c>
      <c r="B227">
        <v>14</v>
      </c>
      <c r="C227">
        <v>10</v>
      </c>
      <c r="D227">
        <v>1</v>
      </c>
      <c r="E227" t="s">
        <v>4</v>
      </c>
      <c r="F227" t="s">
        <v>5</v>
      </c>
      <c r="G227">
        <v>65230</v>
      </c>
      <c r="H227" t="s">
        <v>17</v>
      </c>
    </row>
    <row r="228" spans="1:8" hidden="1" x14ac:dyDescent="0.25">
      <c r="A228" t="str">
        <f>Table1[[#This Row],[Lineage]]&amp;"-"&amp;Table1[[#This Row],[Lineage]]</f>
        <v>14-14</v>
      </c>
      <c r="B228">
        <v>14</v>
      </c>
      <c r="C228">
        <v>11</v>
      </c>
      <c r="D228">
        <v>1</v>
      </c>
      <c r="E228" t="s">
        <v>4</v>
      </c>
      <c r="F228" t="s">
        <v>5</v>
      </c>
      <c r="G228">
        <v>69988</v>
      </c>
      <c r="H228" t="s">
        <v>17</v>
      </c>
    </row>
    <row r="229" spans="1:8" hidden="1" x14ac:dyDescent="0.25">
      <c r="A229" t="str">
        <f>Table1[[#This Row],[Lineage]]&amp;"-"&amp;Table1[[#This Row],[Lineage]]</f>
        <v>14-14</v>
      </c>
      <c r="B229">
        <v>14</v>
      </c>
      <c r="C229">
        <v>12</v>
      </c>
      <c r="D229">
        <v>1</v>
      </c>
      <c r="E229" t="s">
        <v>4</v>
      </c>
      <c r="F229" t="s">
        <v>5</v>
      </c>
      <c r="G229">
        <v>36068</v>
      </c>
      <c r="H229" t="s">
        <v>17</v>
      </c>
    </row>
    <row r="230" spans="1:8" hidden="1" x14ac:dyDescent="0.25">
      <c r="A230" t="str">
        <f>Table1[[#This Row],[Lineage]]&amp;"-"&amp;Table1[[#This Row],[Lineage]]</f>
        <v>14-14</v>
      </c>
      <c r="B230">
        <v>14</v>
      </c>
      <c r="C230">
        <v>13</v>
      </c>
      <c r="D230">
        <v>1</v>
      </c>
      <c r="E230" t="s">
        <v>4</v>
      </c>
      <c r="F230" t="s">
        <v>5</v>
      </c>
      <c r="G230">
        <v>44001</v>
      </c>
      <c r="H230" t="s">
        <v>17</v>
      </c>
    </row>
    <row r="231" spans="1:8" hidden="1" x14ac:dyDescent="0.25">
      <c r="A231" t="str">
        <f>Table1[[#This Row],[Lineage]]&amp;"-"&amp;Table1[[#This Row],[Lineage]]</f>
        <v>14-14</v>
      </c>
      <c r="B231">
        <v>14</v>
      </c>
      <c r="C231">
        <v>14</v>
      </c>
      <c r="D231">
        <v>1</v>
      </c>
      <c r="E231" t="s">
        <v>4</v>
      </c>
      <c r="F231" t="s">
        <v>5</v>
      </c>
      <c r="G231">
        <v>42648</v>
      </c>
      <c r="H231" t="s">
        <v>17</v>
      </c>
    </row>
    <row r="232" spans="1:8" hidden="1" x14ac:dyDescent="0.25">
      <c r="A232" t="str">
        <f>Table1[[#This Row],[Lineage]]&amp;"-"&amp;Table1[[#This Row],[Lineage]]</f>
        <v>14-14</v>
      </c>
      <c r="B232">
        <v>14</v>
      </c>
      <c r="C232">
        <v>15</v>
      </c>
      <c r="D232">
        <v>1</v>
      </c>
      <c r="E232" t="s">
        <v>4</v>
      </c>
      <c r="F232" t="s">
        <v>5</v>
      </c>
      <c r="G232">
        <v>41502</v>
      </c>
      <c r="H232" t="s">
        <v>17</v>
      </c>
    </row>
    <row r="233" spans="1:8" hidden="1" x14ac:dyDescent="0.25">
      <c r="A233" t="str">
        <f>Table1[[#This Row],[Lineage]]&amp;"-"&amp;Table1[[#This Row],[Lineage]]</f>
        <v>14-14</v>
      </c>
      <c r="B233">
        <v>14</v>
      </c>
      <c r="C233">
        <v>16</v>
      </c>
      <c r="D233">
        <v>1</v>
      </c>
      <c r="E233" t="s">
        <v>4</v>
      </c>
      <c r="F233" t="s">
        <v>5</v>
      </c>
      <c r="G233">
        <v>39757</v>
      </c>
      <c r="H233" t="s">
        <v>17</v>
      </c>
    </row>
    <row r="234" spans="1:8" hidden="1" x14ac:dyDescent="0.25">
      <c r="A234" t="str">
        <f>Table1[[#This Row],[Lineage]]&amp;"-"&amp;Table1[[#This Row],[Lineage]]</f>
        <v>14-14</v>
      </c>
      <c r="B234">
        <v>14</v>
      </c>
      <c r="C234">
        <v>17</v>
      </c>
      <c r="D234">
        <v>1</v>
      </c>
      <c r="E234" t="s">
        <v>4</v>
      </c>
      <c r="F234" t="s">
        <v>5</v>
      </c>
      <c r="G234">
        <v>38380</v>
      </c>
      <c r="H234" t="s">
        <v>17</v>
      </c>
    </row>
    <row r="235" spans="1:8" hidden="1" x14ac:dyDescent="0.25">
      <c r="A235" t="str">
        <f>Table1[[#This Row],[Lineage]]&amp;"-"&amp;Table1[[#This Row],[Lineage]]</f>
        <v>14-14</v>
      </c>
      <c r="B235">
        <v>14</v>
      </c>
      <c r="C235">
        <v>18</v>
      </c>
      <c r="D235">
        <v>1</v>
      </c>
      <c r="E235" t="s">
        <v>4</v>
      </c>
      <c r="F235" t="s">
        <v>5</v>
      </c>
      <c r="G235">
        <v>42797</v>
      </c>
      <c r="H235" t="s">
        <v>17</v>
      </c>
    </row>
    <row r="236" spans="1:8" hidden="1" x14ac:dyDescent="0.25">
      <c r="A236" t="str">
        <f>Table1[[#This Row],[Lineage]]&amp;"-"&amp;Table1[[#This Row],[Lineage]]</f>
        <v>14-14</v>
      </c>
      <c r="B236">
        <v>14</v>
      </c>
      <c r="C236">
        <v>19</v>
      </c>
      <c r="D236">
        <v>1</v>
      </c>
      <c r="E236" t="s">
        <v>4</v>
      </c>
      <c r="F236" t="s">
        <v>5</v>
      </c>
      <c r="G236">
        <v>39070</v>
      </c>
      <c r="H236" t="s">
        <v>17</v>
      </c>
    </row>
    <row r="237" spans="1:8" hidden="1" x14ac:dyDescent="0.25">
      <c r="A237" t="str">
        <f>Table1[[#This Row],[Lineage]]&amp;"-"&amp;Table1[[#This Row],[Lineage]]</f>
        <v>14-14</v>
      </c>
      <c r="B237">
        <v>14</v>
      </c>
      <c r="C237">
        <v>20</v>
      </c>
      <c r="D237">
        <v>1</v>
      </c>
      <c r="E237" t="s">
        <v>4</v>
      </c>
      <c r="F237" t="s">
        <v>5</v>
      </c>
      <c r="G237">
        <v>68172</v>
      </c>
      <c r="H237" t="s">
        <v>17</v>
      </c>
    </row>
    <row r="238" spans="1:8" hidden="1" x14ac:dyDescent="0.25">
      <c r="A238" t="str">
        <f>Table1[[#This Row],[Lineage]]&amp;"-"&amp;Table1[[#This Row],[Lineage]]</f>
        <v>14-14</v>
      </c>
      <c r="B238">
        <v>14</v>
      </c>
      <c r="C238">
        <v>1</v>
      </c>
      <c r="D238">
        <v>2</v>
      </c>
      <c r="E238" t="s">
        <v>4</v>
      </c>
      <c r="F238" t="s">
        <v>5</v>
      </c>
      <c r="G238">
        <v>95384</v>
      </c>
      <c r="H238" t="s">
        <v>17</v>
      </c>
    </row>
    <row r="239" spans="1:8" hidden="1" x14ac:dyDescent="0.25">
      <c r="A239" t="str">
        <f>Table1[[#This Row],[Lineage]]&amp;"-"&amp;Table1[[#This Row],[Lineage]]</f>
        <v>14-14</v>
      </c>
      <c r="B239">
        <v>14</v>
      </c>
      <c r="C239">
        <v>2</v>
      </c>
      <c r="D239">
        <v>2</v>
      </c>
      <c r="E239" t="s">
        <v>4</v>
      </c>
      <c r="F239" t="s">
        <v>5</v>
      </c>
      <c r="G239">
        <v>55286</v>
      </c>
      <c r="H239" t="s">
        <v>17</v>
      </c>
    </row>
    <row r="240" spans="1:8" hidden="1" x14ac:dyDescent="0.25">
      <c r="A240" t="str">
        <f>Table1[[#This Row],[Lineage]]&amp;"-"&amp;Table1[[#This Row],[Lineage]]</f>
        <v>14-14</v>
      </c>
      <c r="B240">
        <v>14</v>
      </c>
      <c r="C240">
        <v>3</v>
      </c>
      <c r="D240">
        <v>2</v>
      </c>
      <c r="E240" t="s">
        <v>4</v>
      </c>
      <c r="F240" t="s">
        <v>5</v>
      </c>
      <c r="G240">
        <v>58358</v>
      </c>
      <c r="H240" t="s">
        <v>17</v>
      </c>
    </row>
    <row r="241" spans="1:8" hidden="1" x14ac:dyDescent="0.25">
      <c r="A241" t="str">
        <f>Table1[[#This Row],[Lineage]]&amp;"-"&amp;Table1[[#This Row],[Lineage]]</f>
        <v>14-14</v>
      </c>
      <c r="B241">
        <v>14</v>
      </c>
      <c r="C241">
        <v>4</v>
      </c>
      <c r="D241">
        <v>2</v>
      </c>
      <c r="E241" t="s">
        <v>4</v>
      </c>
      <c r="F241" t="s">
        <v>5</v>
      </c>
      <c r="G241">
        <v>74347</v>
      </c>
      <c r="H241" t="s">
        <v>17</v>
      </c>
    </row>
    <row r="242" spans="1:8" hidden="1" x14ac:dyDescent="0.25">
      <c r="A242" t="str">
        <f>Table1[[#This Row],[Lineage]]&amp;"-"&amp;Table1[[#This Row],[Lineage]]</f>
        <v>14-14</v>
      </c>
      <c r="B242">
        <v>14</v>
      </c>
      <c r="C242">
        <v>5</v>
      </c>
      <c r="D242">
        <v>2</v>
      </c>
      <c r="E242" t="s">
        <v>4</v>
      </c>
      <c r="F242" t="s">
        <v>5</v>
      </c>
      <c r="G242">
        <v>74757</v>
      </c>
      <c r="H242" t="s">
        <v>17</v>
      </c>
    </row>
    <row r="243" spans="1:8" hidden="1" x14ac:dyDescent="0.25">
      <c r="A243" t="str">
        <f>Table1[[#This Row],[Lineage]]&amp;"-"&amp;Table1[[#This Row],[Lineage]]</f>
        <v>14-14</v>
      </c>
      <c r="B243">
        <v>14</v>
      </c>
      <c r="C243">
        <v>6</v>
      </c>
      <c r="D243">
        <v>2</v>
      </c>
      <c r="E243" t="s">
        <v>4</v>
      </c>
      <c r="F243" t="s">
        <v>5</v>
      </c>
      <c r="G243">
        <v>56247</v>
      </c>
      <c r="H243" t="s">
        <v>17</v>
      </c>
    </row>
    <row r="244" spans="1:8" hidden="1" x14ac:dyDescent="0.25">
      <c r="A244" t="str">
        <f>Table1[[#This Row],[Lineage]]&amp;"-"&amp;Table1[[#This Row],[Lineage]]</f>
        <v>14-14</v>
      </c>
      <c r="B244">
        <v>14</v>
      </c>
      <c r="C244">
        <v>7</v>
      </c>
      <c r="D244">
        <v>2</v>
      </c>
      <c r="E244" t="s">
        <v>4</v>
      </c>
      <c r="F244" t="s">
        <v>5</v>
      </c>
      <c r="G244">
        <v>71295</v>
      </c>
      <c r="H244" t="s">
        <v>17</v>
      </c>
    </row>
    <row r="245" spans="1:8" hidden="1" x14ac:dyDescent="0.25">
      <c r="A245" t="str">
        <f>Table1[[#This Row],[Lineage]]&amp;"-"&amp;Table1[[#This Row],[Lineage]]</f>
        <v>14-14</v>
      </c>
      <c r="B245">
        <v>14</v>
      </c>
      <c r="C245">
        <v>8</v>
      </c>
      <c r="D245">
        <v>2</v>
      </c>
      <c r="E245" t="s">
        <v>4</v>
      </c>
      <c r="F245" t="s">
        <v>5</v>
      </c>
      <c r="G245">
        <v>69027</v>
      </c>
      <c r="H245" t="s">
        <v>17</v>
      </c>
    </row>
    <row r="246" spans="1:8" hidden="1" x14ac:dyDescent="0.25">
      <c r="A246" t="str">
        <f>Table1[[#This Row],[Lineage]]&amp;"-"&amp;Table1[[#This Row],[Lineage]]</f>
        <v>14-14</v>
      </c>
      <c r="B246">
        <v>14</v>
      </c>
      <c r="C246">
        <v>9</v>
      </c>
      <c r="D246">
        <v>2</v>
      </c>
      <c r="E246" t="s">
        <v>4</v>
      </c>
      <c r="F246" t="s">
        <v>5</v>
      </c>
      <c r="G246">
        <v>70407</v>
      </c>
      <c r="H246" t="s">
        <v>17</v>
      </c>
    </row>
    <row r="247" spans="1:8" hidden="1" x14ac:dyDescent="0.25">
      <c r="A247" t="str">
        <f>Table1[[#This Row],[Lineage]]&amp;"-"&amp;Table1[[#This Row],[Lineage]]</f>
        <v>14-14</v>
      </c>
      <c r="B247">
        <v>14</v>
      </c>
      <c r="C247">
        <v>10</v>
      </c>
      <c r="D247">
        <v>2</v>
      </c>
      <c r="E247" t="s">
        <v>4</v>
      </c>
      <c r="F247" t="s">
        <v>5</v>
      </c>
      <c r="G247">
        <v>72253</v>
      </c>
      <c r="H247" t="s">
        <v>17</v>
      </c>
    </row>
    <row r="248" spans="1:8" hidden="1" x14ac:dyDescent="0.25">
      <c r="A248" t="str">
        <f>Table1[[#This Row],[Lineage]]&amp;"-"&amp;Table1[[#This Row],[Lineage]]</f>
        <v>14-14</v>
      </c>
      <c r="B248">
        <v>14</v>
      </c>
      <c r="C248">
        <v>11</v>
      </c>
      <c r="D248">
        <v>2</v>
      </c>
      <c r="E248" t="s">
        <v>4</v>
      </c>
      <c r="F248" t="s">
        <v>5</v>
      </c>
      <c r="G248">
        <v>72758</v>
      </c>
      <c r="H248" t="s">
        <v>17</v>
      </c>
    </row>
    <row r="249" spans="1:8" hidden="1" x14ac:dyDescent="0.25">
      <c r="A249" t="str">
        <f>Table1[[#This Row],[Lineage]]&amp;"-"&amp;Table1[[#This Row],[Lineage]]</f>
        <v>14-14</v>
      </c>
      <c r="B249">
        <v>14</v>
      </c>
      <c r="C249">
        <v>12</v>
      </c>
      <c r="D249">
        <v>2</v>
      </c>
      <c r="E249" t="s">
        <v>4</v>
      </c>
      <c r="F249" t="s">
        <v>5</v>
      </c>
      <c r="G249">
        <v>70841</v>
      </c>
      <c r="H249" t="s">
        <v>17</v>
      </c>
    </row>
    <row r="250" spans="1:8" hidden="1" x14ac:dyDescent="0.25">
      <c r="A250" t="str">
        <f>Table1[[#This Row],[Lineage]]&amp;"-"&amp;Table1[[#This Row],[Lineage]]</f>
        <v>14-14</v>
      </c>
      <c r="B250">
        <v>14</v>
      </c>
      <c r="C250">
        <v>13</v>
      </c>
      <c r="D250">
        <v>2</v>
      </c>
      <c r="E250" t="s">
        <v>4</v>
      </c>
      <c r="F250" t="s">
        <v>5</v>
      </c>
      <c r="G250">
        <v>70444</v>
      </c>
      <c r="H250" t="s">
        <v>17</v>
      </c>
    </row>
    <row r="251" spans="1:8" hidden="1" x14ac:dyDescent="0.25">
      <c r="A251" t="str">
        <f>Table1[[#This Row],[Lineage]]&amp;"-"&amp;Table1[[#This Row],[Lineage]]</f>
        <v>14-14</v>
      </c>
      <c r="B251">
        <v>14</v>
      </c>
      <c r="C251">
        <v>14</v>
      </c>
      <c r="D251">
        <v>2</v>
      </c>
      <c r="E251" t="s">
        <v>4</v>
      </c>
      <c r="F251" t="s">
        <v>5</v>
      </c>
      <c r="G251">
        <v>57694</v>
      </c>
      <c r="H251" t="s">
        <v>17</v>
      </c>
    </row>
    <row r="252" spans="1:8" hidden="1" x14ac:dyDescent="0.25">
      <c r="A252" t="str">
        <f>Table1[[#This Row],[Lineage]]&amp;"-"&amp;Table1[[#This Row],[Lineage]]</f>
        <v>14-14</v>
      </c>
      <c r="B252">
        <v>14</v>
      </c>
      <c r="C252">
        <v>15</v>
      </c>
      <c r="D252">
        <v>2</v>
      </c>
      <c r="E252" t="s">
        <v>4</v>
      </c>
      <c r="F252" t="s">
        <v>5</v>
      </c>
      <c r="G252">
        <v>72850</v>
      </c>
      <c r="H252" t="s">
        <v>17</v>
      </c>
    </row>
    <row r="253" spans="1:8" hidden="1" x14ac:dyDescent="0.25">
      <c r="A253" t="str">
        <f>Table1[[#This Row],[Lineage]]&amp;"-"&amp;Table1[[#This Row],[Lineage]]</f>
        <v>14-14</v>
      </c>
      <c r="B253">
        <v>14</v>
      </c>
      <c r="C253">
        <v>16</v>
      </c>
      <c r="D253">
        <v>2</v>
      </c>
      <c r="E253" t="s">
        <v>4</v>
      </c>
      <c r="F253" t="s">
        <v>5</v>
      </c>
      <c r="G253">
        <v>72590</v>
      </c>
      <c r="H253" t="s">
        <v>17</v>
      </c>
    </row>
    <row r="254" spans="1:8" hidden="1" x14ac:dyDescent="0.25">
      <c r="A254" t="str">
        <f>Table1[[#This Row],[Lineage]]&amp;"-"&amp;Table1[[#This Row],[Lineage]]</f>
        <v>14-14</v>
      </c>
      <c r="B254">
        <v>14</v>
      </c>
      <c r="C254">
        <v>17</v>
      </c>
      <c r="D254">
        <v>2</v>
      </c>
      <c r="E254" t="s">
        <v>4</v>
      </c>
      <c r="F254" t="s">
        <v>5</v>
      </c>
      <c r="G254">
        <v>73406</v>
      </c>
      <c r="H254" t="s">
        <v>17</v>
      </c>
    </row>
    <row r="255" spans="1:8" hidden="1" x14ac:dyDescent="0.25">
      <c r="A255" t="str">
        <f>Table1[[#This Row],[Lineage]]&amp;"-"&amp;Table1[[#This Row],[Lineage]]</f>
        <v>14-14</v>
      </c>
      <c r="B255">
        <v>14</v>
      </c>
      <c r="C255">
        <v>18</v>
      </c>
      <c r="D255">
        <v>2</v>
      </c>
      <c r="E255" t="s">
        <v>4</v>
      </c>
      <c r="F255" t="s">
        <v>5</v>
      </c>
      <c r="G255">
        <v>76893</v>
      </c>
      <c r="H255" t="s">
        <v>17</v>
      </c>
    </row>
    <row r="256" spans="1:8" hidden="1" x14ac:dyDescent="0.25">
      <c r="A256" t="str">
        <f>Table1[[#This Row],[Lineage]]&amp;"-"&amp;Table1[[#This Row],[Lineage]]</f>
        <v>14-14</v>
      </c>
      <c r="B256">
        <v>14</v>
      </c>
      <c r="C256">
        <v>19</v>
      </c>
      <c r="D256">
        <v>2</v>
      </c>
      <c r="E256" t="s">
        <v>4</v>
      </c>
      <c r="F256" t="s">
        <v>5</v>
      </c>
      <c r="G256">
        <v>71544</v>
      </c>
      <c r="H256" t="s">
        <v>17</v>
      </c>
    </row>
    <row r="257" spans="1:8" hidden="1" x14ac:dyDescent="0.25">
      <c r="A257" t="str">
        <f>Table1[[#This Row],[Lineage]]&amp;"-"&amp;Table1[[#This Row],[Lineage]]</f>
        <v>14-14</v>
      </c>
      <c r="B257">
        <v>14</v>
      </c>
      <c r="C257">
        <v>20</v>
      </c>
      <c r="D257">
        <v>2</v>
      </c>
      <c r="E257" t="s">
        <v>4</v>
      </c>
      <c r="F257" t="s">
        <v>5</v>
      </c>
      <c r="G257">
        <v>72074</v>
      </c>
      <c r="H257" t="s">
        <v>17</v>
      </c>
    </row>
    <row r="258" spans="1:8" hidden="1" x14ac:dyDescent="0.25">
      <c r="A258" t="str">
        <f>Table1[[#This Row],[Lineage]]&amp;"-"&amp;Table1[[#This Row],[Lineage]]</f>
        <v>15-15</v>
      </c>
      <c r="B258">
        <v>15</v>
      </c>
      <c r="C258">
        <v>1</v>
      </c>
      <c r="D258">
        <v>1</v>
      </c>
      <c r="E258" t="s">
        <v>4</v>
      </c>
      <c r="F258" t="s">
        <v>5</v>
      </c>
      <c r="G258">
        <v>140637</v>
      </c>
      <c r="H258" t="s">
        <v>18</v>
      </c>
    </row>
    <row r="259" spans="1:8" hidden="1" x14ac:dyDescent="0.25">
      <c r="A259" t="str">
        <f>Table1[[#This Row],[Lineage]]&amp;"-"&amp;Table1[[#This Row],[Lineage]]</f>
        <v>15-15</v>
      </c>
      <c r="B259">
        <v>15</v>
      </c>
      <c r="C259">
        <v>2</v>
      </c>
      <c r="D259">
        <v>1</v>
      </c>
      <c r="E259" t="s">
        <v>4</v>
      </c>
      <c r="F259" t="s">
        <v>5</v>
      </c>
      <c r="G259">
        <v>129783</v>
      </c>
      <c r="H259" t="s">
        <v>18</v>
      </c>
    </row>
    <row r="260" spans="1:8" hidden="1" x14ac:dyDescent="0.25">
      <c r="A260" t="str">
        <f>Table1[[#This Row],[Lineage]]&amp;"-"&amp;Table1[[#This Row],[Lineage]]</f>
        <v>15-15</v>
      </c>
      <c r="B260">
        <v>15</v>
      </c>
      <c r="C260">
        <v>3</v>
      </c>
      <c r="D260">
        <v>1</v>
      </c>
      <c r="E260" t="s">
        <v>4</v>
      </c>
      <c r="F260" t="s">
        <v>5</v>
      </c>
      <c r="G260">
        <v>89180</v>
      </c>
      <c r="H260" t="s">
        <v>18</v>
      </c>
    </row>
    <row r="261" spans="1:8" hidden="1" x14ac:dyDescent="0.25">
      <c r="A261" t="str">
        <f>Table1[[#This Row],[Lineage]]&amp;"-"&amp;Table1[[#This Row],[Lineage]]</f>
        <v>15-15</v>
      </c>
      <c r="B261">
        <v>15</v>
      </c>
      <c r="C261">
        <v>4</v>
      </c>
      <c r="D261">
        <v>1</v>
      </c>
      <c r="E261" t="s">
        <v>4</v>
      </c>
      <c r="F261" t="s">
        <v>5</v>
      </c>
      <c r="G261">
        <v>108443</v>
      </c>
      <c r="H261" t="s">
        <v>18</v>
      </c>
    </row>
    <row r="262" spans="1:8" hidden="1" x14ac:dyDescent="0.25">
      <c r="A262" t="str">
        <f>Table1[[#This Row],[Lineage]]&amp;"-"&amp;Table1[[#This Row],[Lineage]]</f>
        <v>15-15</v>
      </c>
      <c r="B262">
        <v>15</v>
      </c>
      <c r="C262">
        <v>5</v>
      </c>
      <c r="D262">
        <v>1</v>
      </c>
      <c r="E262" t="s">
        <v>4</v>
      </c>
      <c r="F262" t="s">
        <v>5</v>
      </c>
      <c r="G262">
        <v>52588</v>
      </c>
      <c r="H262" t="s">
        <v>18</v>
      </c>
    </row>
    <row r="263" spans="1:8" hidden="1" x14ac:dyDescent="0.25">
      <c r="A263" t="str">
        <f>Table1[[#This Row],[Lineage]]&amp;"-"&amp;Table1[[#This Row],[Lineage]]</f>
        <v>15-15</v>
      </c>
      <c r="B263">
        <v>15</v>
      </c>
      <c r="C263">
        <v>6</v>
      </c>
      <c r="D263">
        <v>1</v>
      </c>
      <c r="E263" t="s">
        <v>4</v>
      </c>
      <c r="F263" t="s">
        <v>5</v>
      </c>
      <c r="G263">
        <v>81830</v>
      </c>
      <c r="H263" t="s">
        <v>18</v>
      </c>
    </row>
    <row r="264" spans="1:8" hidden="1" x14ac:dyDescent="0.25">
      <c r="A264" t="str">
        <f>Table1[[#This Row],[Lineage]]&amp;"-"&amp;Table1[[#This Row],[Lineage]]</f>
        <v>15-15</v>
      </c>
      <c r="B264">
        <v>15</v>
      </c>
      <c r="C264">
        <v>7</v>
      </c>
      <c r="D264">
        <v>1</v>
      </c>
      <c r="E264" t="s">
        <v>4</v>
      </c>
      <c r="F264" t="s">
        <v>5</v>
      </c>
      <c r="G264">
        <v>81556</v>
      </c>
      <c r="H264" t="s">
        <v>18</v>
      </c>
    </row>
    <row r="265" spans="1:8" hidden="1" x14ac:dyDescent="0.25">
      <c r="A265" t="str">
        <f>Table1[[#This Row],[Lineage]]&amp;"-"&amp;Table1[[#This Row],[Lineage]]</f>
        <v>15-15</v>
      </c>
      <c r="B265">
        <v>15</v>
      </c>
      <c r="C265">
        <v>8</v>
      </c>
      <c r="D265">
        <v>1</v>
      </c>
      <c r="E265" t="s">
        <v>4</v>
      </c>
      <c r="F265" t="s">
        <v>5</v>
      </c>
      <c r="G265">
        <v>125671</v>
      </c>
      <c r="H265" t="s">
        <v>18</v>
      </c>
    </row>
    <row r="266" spans="1:8" hidden="1" x14ac:dyDescent="0.25">
      <c r="A266" t="str">
        <f>Table1[[#This Row],[Lineage]]&amp;"-"&amp;Table1[[#This Row],[Lineage]]</f>
        <v>15-15</v>
      </c>
      <c r="B266">
        <v>15</v>
      </c>
      <c r="C266">
        <v>9</v>
      </c>
      <c r="D266">
        <v>1</v>
      </c>
      <c r="E266" t="s">
        <v>4</v>
      </c>
      <c r="F266" t="s">
        <v>5</v>
      </c>
      <c r="G266">
        <v>106502</v>
      </c>
      <c r="H266" t="s">
        <v>18</v>
      </c>
    </row>
    <row r="267" spans="1:8" hidden="1" x14ac:dyDescent="0.25">
      <c r="A267" t="str">
        <f>Table1[[#This Row],[Lineage]]&amp;"-"&amp;Table1[[#This Row],[Lineage]]</f>
        <v>15-15</v>
      </c>
      <c r="B267">
        <v>15</v>
      </c>
      <c r="C267">
        <v>10</v>
      </c>
      <c r="D267">
        <v>1</v>
      </c>
      <c r="E267" t="s">
        <v>4</v>
      </c>
      <c r="F267" t="s">
        <v>5</v>
      </c>
      <c r="G267">
        <v>106564</v>
      </c>
      <c r="H267" t="s">
        <v>18</v>
      </c>
    </row>
    <row r="268" spans="1:8" hidden="1" x14ac:dyDescent="0.25">
      <c r="A268" t="str">
        <f>Table1[[#This Row],[Lineage]]&amp;"-"&amp;Table1[[#This Row],[Lineage]]</f>
        <v>15-15</v>
      </c>
      <c r="B268">
        <v>15</v>
      </c>
      <c r="C268">
        <v>11</v>
      </c>
      <c r="D268">
        <v>1</v>
      </c>
      <c r="E268" t="s">
        <v>4</v>
      </c>
      <c r="F268" t="s">
        <v>5</v>
      </c>
      <c r="G268">
        <v>88960</v>
      </c>
      <c r="H268" t="s">
        <v>18</v>
      </c>
    </row>
    <row r="269" spans="1:8" hidden="1" x14ac:dyDescent="0.25">
      <c r="A269" t="str">
        <f>Table1[[#This Row],[Lineage]]&amp;"-"&amp;Table1[[#This Row],[Lineage]]</f>
        <v>15-15</v>
      </c>
      <c r="B269">
        <v>15</v>
      </c>
      <c r="C269">
        <v>12</v>
      </c>
      <c r="D269">
        <v>1</v>
      </c>
      <c r="E269" t="s">
        <v>4</v>
      </c>
      <c r="F269" t="s">
        <v>5</v>
      </c>
      <c r="G269">
        <v>99230</v>
      </c>
      <c r="H269" t="s">
        <v>18</v>
      </c>
    </row>
    <row r="270" spans="1:8" hidden="1" x14ac:dyDescent="0.25">
      <c r="A270" t="str">
        <f>Table1[[#This Row],[Lineage]]&amp;"-"&amp;Table1[[#This Row],[Lineage]]</f>
        <v>15-15</v>
      </c>
      <c r="B270">
        <v>15</v>
      </c>
      <c r="C270">
        <v>13</v>
      </c>
      <c r="D270">
        <v>1</v>
      </c>
      <c r="E270" t="s">
        <v>4</v>
      </c>
      <c r="F270" t="s">
        <v>5</v>
      </c>
      <c r="G270">
        <v>73775</v>
      </c>
      <c r="H270" t="s">
        <v>18</v>
      </c>
    </row>
    <row r="271" spans="1:8" hidden="1" x14ac:dyDescent="0.25">
      <c r="A271" t="str">
        <f>Table1[[#This Row],[Lineage]]&amp;"-"&amp;Table1[[#This Row],[Lineage]]</f>
        <v>15-15</v>
      </c>
      <c r="B271">
        <v>15</v>
      </c>
      <c r="C271">
        <v>14</v>
      </c>
      <c r="D271">
        <v>1</v>
      </c>
      <c r="E271" t="s">
        <v>4</v>
      </c>
      <c r="F271" t="s">
        <v>5</v>
      </c>
      <c r="G271">
        <v>105592</v>
      </c>
      <c r="H271" t="s">
        <v>18</v>
      </c>
    </row>
    <row r="272" spans="1:8" hidden="1" x14ac:dyDescent="0.25">
      <c r="A272" t="str">
        <f>Table1[[#This Row],[Lineage]]&amp;"-"&amp;Table1[[#This Row],[Lineage]]</f>
        <v>15-15</v>
      </c>
      <c r="B272">
        <v>15</v>
      </c>
      <c r="C272">
        <v>1</v>
      </c>
      <c r="D272">
        <v>2</v>
      </c>
      <c r="E272" t="s">
        <v>4</v>
      </c>
      <c r="F272" t="s">
        <v>5</v>
      </c>
      <c r="G272">
        <v>118416</v>
      </c>
      <c r="H272" t="s">
        <v>18</v>
      </c>
    </row>
    <row r="273" spans="1:8" hidden="1" x14ac:dyDescent="0.25">
      <c r="A273" t="str">
        <f>Table1[[#This Row],[Lineage]]&amp;"-"&amp;Table1[[#This Row],[Lineage]]</f>
        <v>15-15</v>
      </c>
      <c r="B273">
        <v>15</v>
      </c>
      <c r="C273">
        <v>2</v>
      </c>
      <c r="D273">
        <v>2</v>
      </c>
      <c r="E273" t="s">
        <v>4</v>
      </c>
      <c r="F273" t="s">
        <v>5</v>
      </c>
      <c r="G273">
        <v>129045</v>
      </c>
      <c r="H273" t="s">
        <v>18</v>
      </c>
    </row>
    <row r="274" spans="1:8" hidden="1" x14ac:dyDescent="0.25">
      <c r="A274" t="str">
        <f>Table1[[#This Row],[Lineage]]&amp;"-"&amp;Table1[[#This Row],[Lineage]]</f>
        <v>15-15</v>
      </c>
      <c r="B274">
        <v>15</v>
      </c>
      <c r="C274">
        <v>3</v>
      </c>
      <c r="D274">
        <v>2</v>
      </c>
      <c r="E274" t="s">
        <v>4</v>
      </c>
      <c r="F274" t="s">
        <v>5</v>
      </c>
      <c r="G274">
        <v>117772</v>
      </c>
      <c r="H274" t="s">
        <v>18</v>
      </c>
    </row>
    <row r="275" spans="1:8" hidden="1" x14ac:dyDescent="0.25">
      <c r="A275" t="str">
        <f>Table1[[#This Row],[Lineage]]&amp;"-"&amp;Table1[[#This Row],[Lineage]]</f>
        <v>15-15</v>
      </c>
      <c r="B275">
        <v>15</v>
      </c>
      <c r="C275">
        <v>4</v>
      </c>
      <c r="D275">
        <v>2</v>
      </c>
      <c r="E275" t="s">
        <v>4</v>
      </c>
      <c r="F275" t="s">
        <v>5</v>
      </c>
      <c r="G275">
        <v>98378</v>
      </c>
      <c r="H275" t="s">
        <v>18</v>
      </c>
    </row>
    <row r="276" spans="1:8" hidden="1" x14ac:dyDescent="0.25">
      <c r="A276" t="str">
        <f>Table1[[#This Row],[Lineage]]&amp;"-"&amp;Table1[[#This Row],[Lineage]]</f>
        <v>15-15</v>
      </c>
      <c r="B276">
        <v>15</v>
      </c>
      <c r="C276">
        <v>5</v>
      </c>
      <c r="D276">
        <v>2</v>
      </c>
      <c r="E276" t="s">
        <v>4</v>
      </c>
      <c r="F276" t="s">
        <v>5</v>
      </c>
      <c r="G276">
        <v>77611</v>
      </c>
      <c r="H276" t="s">
        <v>18</v>
      </c>
    </row>
    <row r="277" spans="1:8" hidden="1" x14ac:dyDescent="0.25">
      <c r="A277" t="str">
        <f>Table1[[#This Row],[Lineage]]&amp;"-"&amp;Table1[[#This Row],[Lineage]]</f>
        <v>15-15</v>
      </c>
      <c r="B277">
        <v>15</v>
      </c>
      <c r="C277">
        <v>6</v>
      </c>
      <c r="D277">
        <v>2</v>
      </c>
      <c r="E277" t="s">
        <v>4</v>
      </c>
      <c r="F277" t="s">
        <v>5</v>
      </c>
      <c r="G277">
        <v>97151</v>
      </c>
      <c r="H277" t="s">
        <v>18</v>
      </c>
    </row>
    <row r="278" spans="1:8" hidden="1" x14ac:dyDescent="0.25">
      <c r="A278" t="str">
        <f>Table1[[#This Row],[Lineage]]&amp;"-"&amp;Table1[[#This Row],[Lineage]]</f>
        <v>15-15</v>
      </c>
      <c r="B278">
        <v>15</v>
      </c>
      <c r="C278">
        <v>7</v>
      </c>
      <c r="D278">
        <v>2</v>
      </c>
      <c r="E278" t="s">
        <v>4</v>
      </c>
      <c r="F278" t="s">
        <v>5</v>
      </c>
      <c r="G278">
        <v>72685</v>
      </c>
      <c r="H278" t="s">
        <v>18</v>
      </c>
    </row>
    <row r="279" spans="1:8" hidden="1" x14ac:dyDescent="0.25">
      <c r="A279" t="str">
        <f>Table1[[#This Row],[Lineage]]&amp;"-"&amp;Table1[[#This Row],[Lineage]]</f>
        <v>15-15</v>
      </c>
      <c r="B279">
        <v>15</v>
      </c>
      <c r="C279">
        <v>8</v>
      </c>
      <c r="D279">
        <v>2</v>
      </c>
      <c r="E279" t="s">
        <v>4</v>
      </c>
      <c r="F279" t="s">
        <v>5</v>
      </c>
      <c r="G279">
        <v>133296</v>
      </c>
      <c r="H279" t="s">
        <v>18</v>
      </c>
    </row>
    <row r="280" spans="1:8" hidden="1" x14ac:dyDescent="0.25">
      <c r="A280" t="str">
        <f>Table1[[#This Row],[Lineage]]&amp;"-"&amp;Table1[[#This Row],[Lineage]]</f>
        <v>15-15</v>
      </c>
      <c r="B280">
        <v>15</v>
      </c>
      <c r="C280">
        <v>9</v>
      </c>
      <c r="D280">
        <v>2</v>
      </c>
      <c r="E280" t="s">
        <v>4</v>
      </c>
      <c r="F280" t="s">
        <v>5</v>
      </c>
      <c r="G280">
        <v>98827</v>
      </c>
      <c r="H280" t="s">
        <v>18</v>
      </c>
    </row>
    <row r="281" spans="1:8" hidden="1" x14ac:dyDescent="0.25">
      <c r="A281" t="str">
        <f>Table1[[#This Row],[Lineage]]&amp;"-"&amp;Table1[[#This Row],[Lineage]]</f>
        <v>15-15</v>
      </c>
      <c r="B281">
        <v>15</v>
      </c>
      <c r="C281">
        <v>10</v>
      </c>
      <c r="D281">
        <v>2</v>
      </c>
      <c r="E281" t="s">
        <v>4</v>
      </c>
      <c r="F281" t="s">
        <v>5</v>
      </c>
      <c r="G281">
        <v>89866</v>
      </c>
      <c r="H281" t="s">
        <v>18</v>
      </c>
    </row>
    <row r="282" spans="1:8" hidden="1" x14ac:dyDescent="0.25">
      <c r="A282" t="str">
        <f>Table1[[#This Row],[Lineage]]&amp;"-"&amp;Table1[[#This Row],[Lineage]]</f>
        <v>15-15</v>
      </c>
      <c r="B282">
        <v>15</v>
      </c>
      <c r="C282">
        <v>11</v>
      </c>
      <c r="D282">
        <v>2</v>
      </c>
      <c r="E282" t="s">
        <v>4</v>
      </c>
      <c r="F282" t="s">
        <v>5</v>
      </c>
      <c r="G282">
        <v>76440</v>
      </c>
      <c r="H282" t="s">
        <v>18</v>
      </c>
    </row>
    <row r="283" spans="1:8" hidden="1" x14ac:dyDescent="0.25">
      <c r="A283" t="str">
        <f>Table1[[#This Row],[Lineage]]&amp;"-"&amp;Table1[[#This Row],[Lineage]]</f>
        <v>15-15</v>
      </c>
      <c r="B283">
        <v>15</v>
      </c>
      <c r="C283">
        <v>12</v>
      </c>
      <c r="D283">
        <v>2</v>
      </c>
      <c r="E283" t="s">
        <v>4</v>
      </c>
      <c r="F283" t="s">
        <v>5</v>
      </c>
      <c r="G283">
        <v>99963</v>
      </c>
      <c r="H283" t="s">
        <v>18</v>
      </c>
    </row>
    <row r="284" spans="1:8" hidden="1" x14ac:dyDescent="0.25">
      <c r="A284" t="str">
        <f>Table1[[#This Row],[Lineage]]&amp;"-"&amp;Table1[[#This Row],[Lineage]]</f>
        <v>15-15</v>
      </c>
      <c r="B284">
        <v>15</v>
      </c>
      <c r="C284">
        <v>13</v>
      </c>
      <c r="D284">
        <v>2</v>
      </c>
      <c r="E284" t="s">
        <v>4</v>
      </c>
      <c r="F284" t="s">
        <v>5</v>
      </c>
      <c r="G284">
        <v>84266</v>
      </c>
      <c r="H284" t="s">
        <v>18</v>
      </c>
    </row>
    <row r="285" spans="1:8" hidden="1" x14ac:dyDescent="0.25">
      <c r="A285" t="str">
        <f>Table1[[#This Row],[Lineage]]&amp;"-"&amp;Table1[[#This Row],[Lineage]]</f>
        <v>15-15</v>
      </c>
      <c r="B285">
        <v>15</v>
      </c>
      <c r="C285">
        <v>14</v>
      </c>
      <c r="D285">
        <v>2</v>
      </c>
      <c r="E285" t="s">
        <v>4</v>
      </c>
      <c r="F285" t="s">
        <v>5</v>
      </c>
      <c r="G285">
        <v>101158</v>
      </c>
      <c r="H285" t="s">
        <v>18</v>
      </c>
    </row>
    <row r="286" spans="1:8" hidden="1" x14ac:dyDescent="0.25">
      <c r="A286" t="str">
        <f>Table1[[#This Row],[Lineage]]&amp;"-"&amp;Table1[[#This Row],[Lineage]]</f>
        <v>16-16</v>
      </c>
      <c r="B286">
        <v>16</v>
      </c>
      <c r="C286">
        <v>1</v>
      </c>
      <c r="D286">
        <v>1</v>
      </c>
      <c r="E286" t="s">
        <v>19</v>
      </c>
      <c r="F286" t="s">
        <v>5</v>
      </c>
      <c r="G286">
        <v>133393</v>
      </c>
      <c r="H286" t="s">
        <v>20</v>
      </c>
    </row>
    <row r="287" spans="1:8" hidden="1" x14ac:dyDescent="0.25">
      <c r="A287" t="str">
        <f>Table1[[#This Row],[Lineage]]&amp;"-"&amp;Table1[[#This Row],[Lineage]]</f>
        <v>16-16</v>
      </c>
      <c r="B287">
        <v>16</v>
      </c>
      <c r="C287">
        <v>2</v>
      </c>
      <c r="D287">
        <v>1</v>
      </c>
      <c r="E287" t="s">
        <v>19</v>
      </c>
      <c r="F287" t="s">
        <v>5</v>
      </c>
      <c r="G287">
        <v>125667</v>
      </c>
      <c r="H287" t="s">
        <v>20</v>
      </c>
    </row>
    <row r="288" spans="1:8" hidden="1" x14ac:dyDescent="0.25">
      <c r="A288" t="str">
        <f>Table1[[#This Row],[Lineage]]&amp;"-"&amp;Table1[[#This Row],[Lineage]]</f>
        <v>16-16</v>
      </c>
      <c r="B288">
        <v>16</v>
      </c>
      <c r="C288">
        <v>3</v>
      </c>
      <c r="D288">
        <v>1</v>
      </c>
      <c r="E288" t="s">
        <v>19</v>
      </c>
      <c r="F288" t="s">
        <v>5</v>
      </c>
      <c r="G288">
        <v>126977</v>
      </c>
      <c r="H288" t="s">
        <v>20</v>
      </c>
    </row>
    <row r="289" spans="1:8" hidden="1" x14ac:dyDescent="0.25">
      <c r="A289" t="str">
        <f>Table1[[#This Row],[Lineage]]&amp;"-"&amp;Table1[[#This Row],[Lineage]]</f>
        <v>16-16</v>
      </c>
      <c r="B289">
        <v>16</v>
      </c>
      <c r="C289">
        <v>4</v>
      </c>
      <c r="D289">
        <v>1</v>
      </c>
      <c r="E289" t="s">
        <v>19</v>
      </c>
      <c r="F289" t="s">
        <v>5</v>
      </c>
      <c r="G289">
        <v>132949</v>
      </c>
      <c r="H289" t="s">
        <v>20</v>
      </c>
    </row>
    <row r="290" spans="1:8" hidden="1" x14ac:dyDescent="0.25">
      <c r="A290" t="str">
        <f>Table1[[#This Row],[Lineage]]&amp;"-"&amp;Table1[[#This Row],[Lineage]]</f>
        <v>16-16</v>
      </c>
      <c r="B290">
        <v>16</v>
      </c>
      <c r="C290">
        <v>5</v>
      </c>
      <c r="D290">
        <v>1</v>
      </c>
      <c r="E290" t="s">
        <v>19</v>
      </c>
      <c r="F290" t="s">
        <v>5</v>
      </c>
      <c r="G290">
        <v>131948</v>
      </c>
      <c r="H290" t="s">
        <v>20</v>
      </c>
    </row>
    <row r="291" spans="1:8" hidden="1" x14ac:dyDescent="0.25">
      <c r="A291" t="str">
        <f>Table1[[#This Row],[Lineage]]&amp;"-"&amp;Table1[[#This Row],[Lineage]]</f>
        <v>16-16</v>
      </c>
      <c r="B291">
        <v>16</v>
      </c>
      <c r="C291">
        <v>1</v>
      </c>
      <c r="D291">
        <v>2</v>
      </c>
      <c r="E291" t="s">
        <v>19</v>
      </c>
      <c r="F291" t="s">
        <v>5</v>
      </c>
      <c r="G291">
        <v>128717</v>
      </c>
      <c r="H291" t="s">
        <v>20</v>
      </c>
    </row>
    <row r="292" spans="1:8" hidden="1" x14ac:dyDescent="0.25">
      <c r="A292" t="str">
        <f>Table1[[#This Row],[Lineage]]&amp;"-"&amp;Table1[[#This Row],[Lineage]]</f>
        <v>16-16</v>
      </c>
      <c r="B292">
        <v>16</v>
      </c>
      <c r="C292">
        <v>2</v>
      </c>
      <c r="D292">
        <v>2</v>
      </c>
      <c r="E292" t="s">
        <v>19</v>
      </c>
      <c r="F292" t="s">
        <v>5</v>
      </c>
      <c r="G292">
        <v>130335</v>
      </c>
      <c r="H292" t="s">
        <v>20</v>
      </c>
    </row>
    <row r="293" spans="1:8" hidden="1" x14ac:dyDescent="0.25">
      <c r="A293" t="str">
        <f>Table1[[#This Row],[Lineage]]&amp;"-"&amp;Table1[[#This Row],[Lineage]]</f>
        <v>16-16</v>
      </c>
      <c r="B293">
        <v>16</v>
      </c>
      <c r="C293">
        <v>3</v>
      </c>
      <c r="D293">
        <v>2</v>
      </c>
      <c r="E293" t="s">
        <v>19</v>
      </c>
      <c r="F293" t="s">
        <v>5</v>
      </c>
      <c r="G293">
        <v>125816</v>
      </c>
      <c r="H293" t="s">
        <v>20</v>
      </c>
    </row>
    <row r="294" spans="1:8" hidden="1" x14ac:dyDescent="0.25">
      <c r="A294" t="str">
        <f>Table1[[#This Row],[Lineage]]&amp;"-"&amp;Table1[[#This Row],[Lineage]]</f>
        <v>16-16</v>
      </c>
      <c r="B294">
        <v>16</v>
      </c>
      <c r="C294">
        <v>4</v>
      </c>
      <c r="D294">
        <v>2</v>
      </c>
      <c r="E294" t="s">
        <v>19</v>
      </c>
      <c r="F294" t="s">
        <v>5</v>
      </c>
      <c r="G294">
        <v>128340</v>
      </c>
      <c r="H294" t="s">
        <v>20</v>
      </c>
    </row>
    <row r="295" spans="1:8" hidden="1" x14ac:dyDescent="0.25">
      <c r="A295" t="str">
        <f>Table1[[#This Row],[Lineage]]&amp;"-"&amp;Table1[[#This Row],[Lineage]]</f>
        <v>16-16</v>
      </c>
      <c r="B295">
        <v>16</v>
      </c>
      <c r="C295">
        <v>5</v>
      </c>
      <c r="D295">
        <v>2</v>
      </c>
      <c r="E295" t="s">
        <v>19</v>
      </c>
      <c r="F295" t="s">
        <v>5</v>
      </c>
      <c r="G295">
        <v>130043</v>
      </c>
      <c r="H295" t="s">
        <v>20</v>
      </c>
    </row>
    <row r="296" spans="1:8" hidden="1" x14ac:dyDescent="0.25">
      <c r="A296" t="str">
        <f>Table1[[#This Row],[Lineage]]&amp;"-"&amp;Table1[[#This Row],[Lineage]]</f>
        <v>17-17</v>
      </c>
      <c r="B296">
        <v>17</v>
      </c>
      <c r="C296">
        <v>1</v>
      </c>
      <c r="D296">
        <v>1</v>
      </c>
      <c r="E296" t="s">
        <v>4</v>
      </c>
      <c r="F296" t="s">
        <v>5</v>
      </c>
      <c r="G296">
        <v>125353</v>
      </c>
      <c r="H296" t="s">
        <v>21</v>
      </c>
    </row>
    <row r="297" spans="1:8" hidden="1" x14ac:dyDescent="0.25">
      <c r="A297" t="str">
        <f>Table1[[#This Row],[Lineage]]&amp;"-"&amp;Table1[[#This Row],[Lineage]]</f>
        <v>17-17</v>
      </c>
      <c r="B297">
        <v>17</v>
      </c>
      <c r="C297">
        <v>2</v>
      </c>
      <c r="D297">
        <v>1</v>
      </c>
      <c r="E297" t="s">
        <v>4</v>
      </c>
      <c r="F297" t="s">
        <v>5</v>
      </c>
      <c r="G297">
        <v>71364</v>
      </c>
      <c r="H297" t="s">
        <v>21</v>
      </c>
    </row>
    <row r="298" spans="1:8" hidden="1" x14ac:dyDescent="0.25">
      <c r="A298" t="str">
        <f>Table1[[#This Row],[Lineage]]&amp;"-"&amp;Table1[[#This Row],[Lineage]]</f>
        <v>17-17</v>
      </c>
      <c r="B298">
        <v>17</v>
      </c>
      <c r="C298">
        <v>3</v>
      </c>
      <c r="D298">
        <v>1</v>
      </c>
      <c r="E298" t="s">
        <v>4</v>
      </c>
      <c r="F298" t="s">
        <v>5</v>
      </c>
      <c r="G298">
        <v>87633</v>
      </c>
      <c r="H298" t="s">
        <v>21</v>
      </c>
    </row>
    <row r="299" spans="1:8" hidden="1" x14ac:dyDescent="0.25">
      <c r="A299" t="str">
        <f>Table1[[#This Row],[Lineage]]&amp;"-"&amp;Table1[[#This Row],[Lineage]]</f>
        <v>17-17</v>
      </c>
      <c r="B299">
        <v>17</v>
      </c>
      <c r="C299">
        <v>4</v>
      </c>
      <c r="D299">
        <v>1</v>
      </c>
      <c r="E299" t="s">
        <v>4</v>
      </c>
      <c r="F299" t="s">
        <v>5</v>
      </c>
      <c r="G299">
        <v>67014</v>
      </c>
      <c r="H299" t="s">
        <v>21</v>
      </c>
    </row>
    <row r="300" spans="1:8" hidden="1" x14ac:dyDescent="0.25">
      <c r="A300" t="str">
        <f>Table1[[#This Row],[Lineage]]&amp;"-"&amp;Table1[[#This Row],[Lineage]]</f>
        <v>17-17</v>
      </c>
      <c r="B300">
        <v>17</v>
      </c>
      <c r="C300">
        <v>5</v>
      </c>
      <c r="D300">
        <v>1</v>
      </c>
      <c r="E300" t="s">
        <v>4</v>
      </c>
      <c r="F300" t="s">
        <v>5</v>
      </c>
      <c r="G300">
        <v>78025</v>
      </c>
      <c r="H300" t="s">
        <v>21</v>
      </c>
    </row>
    <row r="301" spans="1:8" hidden="1" x14ac:dyDescent="0.25">
      <c r="A301" t="str">
        <f>Table1[[#This Row],[Lineage]]&amp;"-"&amp;Table1[[#This Row],[Lineage]]</f>
        <v>17-17</v>
      </c>
      <c r="B301">
        <v>17</v>
      </c>
      <c r="C301">
        <v>6</v>
      </c>
      <c r="D301">
        <v>1</v>
      </c>
      <c r="E301" t="s">
        <v>4</v>
      </c>
      <c r="F301" t="s">
        <v>5</v>
      </c>
      <c r="G301">
        <v>81817</v>
      </c>
      <c r="H301" t="s">
        <v>21</v>
      </c>
    </row>
    <row r="302" spans="1:8" hidden="1" x14ac:dyDescent="0.25">
      <c r="A302" t="str">
        <f>Table1[[#This Row],[Lineage]]&amp;"-"&amp;Table1[[#This Row],[Lineage]]</f>
        <v>17-17</v>
      </c>
      <c r="B302">
        <v>17</v>
      </c>
      <c r="C302">
        <v>7</v>
      </c>
      <c r="D302">
        <v>1</v>
      </c>
      <c r="E302" t="s">
        <v>4</v>
      </c>
      <c r="F302" t="s">
        <v>5</v>
      </c>
      <c r="G302">
        <v>80594</v>
      </c>
      <c r="H302" t="s">
        <v>21</v>
      </c>
    </row>
    <row r="303" spans="1:8" hidden="1" x14ac:dyDescent="0.25">
      <c r="A303" t="str">
        <f>Table1[[#This Row],[Lineage]]&amp;"-"&amp;Table1[[#This Row],[Lineage]]</f>
        <v>17-17</v>
      </c>
      <c r="B303">
        <v>17</v>
      </c>
      <c r="C303">
        <v>8</v>
      </c>
      <c r="D303">
        <v>1</v>
      </c>
      <c r="E303" t="s">
        <v>4</v>
      </c>
      <c r="F303" t="s">
        <v>5</v>
      </c>
      <c r="G303">
        <v>69408</v>
      </c>
      <c r="H303" t="s">
        <v>21</v>
      </c>
    </row>
    <row r="304" spans="1:8" hidden="1" x14ac:dyDescent="0.25">
      <c r="A304" t="str">
        <f>Table1[[#This Row],[Lineage]]&amp;"-"&amp;Table1[[#This Row],[Lineage]]</f>
        <v>17-17</v>
      </c>
      <c r="B304">
        <v>17</v>
      </c>
      <c r="C304">
        <v>9</v>
      </c>
      <c r="D304">
        <v>1</v>
      </c>
      <c r="E304" t="s">
        <v>4</v>
      </c>
      <c r="F304" t="s">
        <v>5</v>
      </c>
      <c r="G304">
        <v>67053</v>
      </c>
      <c r="H304" t="s">
        <v>21</v>
      </c>
    </row>
    <row r="305" spans="1:8" hidden="1" x14ac:dyDescent="0.25">
      <c r="A305" t="str">
        <f>Table1[[#This Row],[Lineage]]&amp;"-"&amp;Table1[[#This Row],[Lineage]]</f>
        <v>17-17</v>
      </c>
      <c r="B305">
        <v>17</v>
      </c>
      <c r="C305">
        <v>10</v>
      </c>
      <c r="D305">
        <v>1</v>
      </c>
      <c r="E305" t="s">
        <v>4</v>
      </c>
      <c r="F305" t="s">
        <v>5</v>
      </c>
      <c r="G305">
        <v>69922</v>
      </c>
      <c r="H305" t="s">
        <v>21</v>
      </c>
    </row>
    <row r="306" spans="1:8" hidden="1" x14ac:dyDescent="0.25">
      <c r="A306" t="str">
        <f>Table1[[#This Row],[Lineage]]&amp;"-"&amp;Table1[[#This Row],[Lineage]]</f>
        <v>17-17</v>
      </c>
      <c r="B306">
        <v>17</v>
      </c>
      <c r="C306">
        <v>11</v>
      </c>
      <c r="D306">
        <v>1</v>
      </c>
      <c r="E306" t="s">
        <v>4</v>
      </c>
      <c r="F306" t="s">
        <v>5</v>
      </c>
      <c r="G306">
        <v>98424</v>
      </c>
      <c r="H306" t="s">
        <v>21</v>
      </c>
    </row>
    <row r="307" spans="1:8" hidden="1" x14ac:dyDescent="0.25">
      <c r="A307" t="str">
        <f>Table1[[#This Row],[Lineage]]&amp;"-"&amp;Table1[[#This Row],[Lineage]]</f>
        <v>17-17</v>
      </c>
      <c r="B307">
        <v>17</v>
      </c>
      <c r="C307">
        <v>12</v>
      </c>
      <c r="D307">
        <v>1</v>
      </c>
      <c r="E307" t="s">
        <v>4</v>
      </c>
      <c r="F307" t="s">
        <v>5</v>
      </c>
      <c r="G307">
        <v>87819</v>
      </c>
      <c r="H307" t="s">
        <v>21</v>
      </c>
    </row>
    <row r="308" spans="1:8" hidden="1" x14ac:dyDescent="0.25">
      <c r="A308" t="str">
        <f>Table1[[#This Row],[Lineage]]&amp;"-"&amp;Table1[[#This Row],[Lineage]]</f>
        <v>17-17</v>
      </c>
      <c r="B308">
        <v>17</v>
      </c>
      <c r="C308">
        <v>13</v>
      </c>
      <c r="D308">
        <v>1</v>
      </c>
      <c r="E308" t="s">
        <v>4</v>
      </c>
      <c r="F308" t="s">
        <v>5</v>
      </c>
      <c r="G308">
        <v>73164</v>
      </c>
      <c r="H308" t="s">
        <v>21</v>
      </c>
    </row>
    <row r="309" spans="1:8" hidden="1" x14ac:dyDescent="0.25">
      <c r="A309" t="str">
        <f>Table1[[#This Row],[Lineage]]&amp;"-"&amp;Table1[[#This Row],[Lineage]]</f>
        <v>17-17</v>
      </c>
      <c r="B309">
        <v>17</v>
      </c>
      <c r="C309">
        <v>14</v>
      </c>
      <c r="D309">
        <v>1</v>
      </c>
      <c r="E309" t="s">
        <v>4</v>
      </c>
      <c r="F309" t="s">
        <v>5</v>
      </c>
      <c r="G309">
        <v>84518</v>
      </c>
      <c r="H309" t="s">
        <v>21</v>
      </c>
    </row>
    <row r="310" spans="1:8" hidden="1" x14ac:dyDescent="0.25">
      <c r="A310" t="str">
        <f>Table1[[#This Row],[Lineage]]&amp;"-"&amp;Table1[[#This Row],[Lineage]]</f>
        <v>17-17</v>
      </c>
      <c r="B310">
        <v>17</v>
      </c>
      <c r="C310">
        <v>15</v>
      </c>
      <c r="D310">
        <v>1</v>
      </c>
      <c r="E310" t="s">
        <v>4</v>
      </c>
      <c r="F310" t="s">
        <v>5</v>
      </c>
      <c r="G310">
        <v>129967</v>
      </c>
      <c r="H310" t="s">
        <v>21</v>
      </c>
    </row>
    <row r="311" spans="1:8" hidden="1" x14ac:dyDescent="0.25">
      <c r="A311" t="str">
        <f>Table1[[#This Row],[Lineage]]&amp;"-"&amp;Table1[[#This Row],[Lineage]]</f>
        <v>17-17</v>
      </c>
      <c r="B311">
        <v>17</v>
      </c>
      <c r="C311">
        <v>16</v>
      </c>
      <c r="D311">
        <v>1</v>
      </c>
      <c r="E311" t="s">
        <v>4</v>
      </c>
      <c r="F311" t="s">
        <v>5</v>
      </c>
      <c r="G311">
        <v>102291</v>
      </c>
      <c r="H311" t="s">
        <v>21</v>
      </c>
    </row>
    <row r="312" spans="1:8" hidden="1" x14ac:dyDescent="0.25">
      <c r="A312" t="str">
        <f>Table1[[#This Row],[Lineage]]&amp;"-"&amp;Table1[[#This Row],[Lineage]]</f>
        <v>17-17</v>
      </c>
      <c r="B312">
        <v>17</v>
      </c>
      <c r="C312">
        <v>17</v>
      </c>
      <c r="D312">
        <v>1</v>
      </c>
      <c r="E312" t="s">
        <v>4</v>
      </c>
      <c r="F312" t="s">
        <v>5</v>
      </c>
      <c r="G312">
        <v>126856</v>
      </c>
      <c r="H312" t="s">
        <v>21</v>
      </c>
    </row>
    <row r="313" spans="1:8" hidden="1" x14ac:dyDescent="0.25">
      <c r="A313" t="str">
        <f>Table1[[#This Row],[Lineage]]&amp;"-"&amp;Table1[[#This Row],[Lineage]]</f>
        <v>17-17</v>
      </c>
      <c r="B313">
        <v>17</v>
      </c>
      <c r="C313">
        <v>18</v>
      </c>
      <c r="D313">
        <v>1</v>
      </c>
      <c r="E313" t="s">
        <v>4</v>
      </c>
      <c r="F313" t="s">
        <v>5</v>
      </c>
      <c r="G313">
        <v>104931</v>
      </c>
      <c r="H313" t="s">
        <v>21</v>
      </c>
    </row>
    <row r="314" spans="1:8" hidden="1" x14ac:dyDescent="0.25">
      <c r="A314" t="str">
        <f>Table1[[#This Row],[Lineage]]&amp;"-"&amp;Table1[[#This Row],[Lineage]]</f>
        <v>17-17</v>
      </c>
      <c r="B314">
        <v>17</v>
      </c>
      <c r="C314">
        <v>19</v>
      </c>
      <c r="D314">
        <v>1</v>
      </c>
      <c r="E314" t="s">
        <v>4</v>
      </c>
      <c r="F314" t="s">
        <v>5</v>
      </c>
      <c r="G314">
        <v>112457</v>
      </c>
      <c r="H314" t="s">
        <v>21</v>
      </c>
    </row>
    <row r="315" spans="1:8" hidden="1" x14ac:dyDescent="0.25">
      <c r="A315" t="str">
        <f>Table1[[#This Row],[Lineage]]&amp;"-"&amp;Table1[[#This Row],[Lineage]]</f>
        <v>17-17</v>
      </c>
      <c r="B315">
        <v>17</v>
      </c>
      <c r="C315">
        <v>20</v>
      </c>
      <c r="D315">
        <v>1</v>
      </c>
      <c r="E315" t="s">
        <v>4</v>
      </c>
      <c r="F315" t="s">
        <v>5</v>
      </c>
      <c r="G315">
        <v>98391</v>
      </c>
      <c r="H315" t="s">
        <v>21</v>
      </c>
    </row>
    <row r="316" spans="1:8" hidden="1" x14ac:dyDescent="0.25">
      <c r="A316" t="str">
        <f>Table1[[#This Row],[Lineage]]&amp;"-"&amp;Table1[[#This Row],[Lineage]]</f>
        <v>17-17</v>
      </c>
      <c r="B316">
        <v>17</v>
      </c>
      <c r="C316">
        <v>1</v>
      </c>
      <c r="D316">
        <v>2</v>
      </c>
      <c r="E316" t="s">
        <v>4</v>
      </c>
      <c r="F316" t="s">
        <v>5</v>
      </c>
      <c r="G316">
        <v>126505</v>
      </c>
      <c r="H316" t="s">
        <v>21</v>
      </c>
    </row>
    <row r="317" spans="1:8" hidden="1" x14ac:dyDescent="0.25">
      <c r="A317" t="str">
        <f>Table1[[#This Row],[Lineage]]&amp;"-"&amp;Table1[[#This Row],[Lineage]]</f>
        <v>17-17</v>
      </c>
      <c r="B317">
        <v>17</v>
      </c>
      <c r="C317">
        <v>2</v>
      </c>
      <c r="D317">
        <v>2</v>
      </c>
      <c r="E317" t="s">
        <v>4</v>
      </c>
      <c r="F317" t="s">
        <v>5</v>
      </c>
      <c r="G317">
        <v>75673</v>
      </c>
      <c r="H317" t="s">
        <v>21</v>
      </c>
    </row>
    <row r="318" spans="1:8" hidden="1" x14ac:dyDescent="0.25">
      <c r="A318" t="str">
        <f>Table1[[#This Row],[Lineage]]&amp;"-"&amp;Table1[[#This Row],[Lineage]]</f>
        <v>17-17</v>
      </c>
      <c r="B318">
        <v>17</v>
      </c>
      <c r="C318">
        <v>3</v>
      </c>
      <c r="D318">
        <v>2</v>
      </c>
      <c r="E318" t="s">
        <v>4</v>
      </c>
      <c r="F318" t="s">
        <v>5</v>
      </c>
      <c r="G318">
        <v>86860</v>
      </c>
      <c r="H318" t="s">
        <v>21</v>
      </c>
    </row>
    <row r="319" spans="1:8" hidden="1" x14ac:dyDescent="0.25">
      <c r="A319" t="str">
        <f>Table1[[#This Row],[Lineage]]&amp;"-"&amp;Table1[[#This Row],[Lineage]]</f>
        <v>17-17</v>
      </c>
      <c r="B319">
        <v>17</v>
      </c>
      <c r="C319">
        <v>4</v>
      </c>
      <c r="D319">
        <v>2</v>
      </c>
      <c r="E319" t="s">
        <v>4</v>
      </c>
      <c r="F319" t="s">
        <v>5</v>
      </c>
      <c r="G319">
        <v>71391</v>
      </c>
      <c r="H319" t="s">
        <v>21</v>
      </c>
    </row>
    <row r="320" spans="1:8" hidden="1" x14ac:dyDescent="0.25">
      <c r="A320" t="str">
        <f>Table1[[#This Row],[Lineage]]&amp;"-"&amp;Table1[[#This Row],[Lineage]]</f>
        <v>17-17</v>
      </c>
      <c r="B320">
        <v>17</v>
      </c>
      <c r="C320">
        <v>5</v>
      </c>
      <c r="D320">
        <v>2</v>
      </c>
      <c r="E320" t="s">
        <v>4</v>
      </c>
      <c r="F320" t="s">
        <v>5</v>
      </c>
      <c r="G320">
        <v>93114</v>
      </c>
      <c r="H320" t="s">
        <v>21</v>
      </c>
    </row>
    <row r="321" spans="1:8" hidden="1" x14ac:dyDescent="0.25">
      <c r="A321" t="str">
        <f>Table1[[#This Row],[Lineage]]&amp;"-"&amp;Table1[[#This Row],[Lineage]]</f>
        <v>17-17</v>
      </c>
      <c r="B321">
        <v>17</v>
      </c>
      <c r="C321">
        <v>6</v>
      </c>
      <c r="D321">
        <v>2</v>
      </c>
      <c r="E321" t="s">
        <v>4</v>
      </c>
      <c r="F321" t="s">
        <v>5</v>
      </c>
      <c r="G321">
        <v>76494</v>
      </c>
      <c r="H321" t="s">
        <v>21</v>
      </c>
    </row>
    <row r="322" spans="1:8" hidden="1" x14ac:dyDescent="0.25">
      <c r="A322" t="str">
        <f>Table1[[#This Row],[Lineage]]&amp;"-"&amp;Table1[[#This Row],[Lineage]]</f>
        <v>17-17</v>
      </c>
      <c r="B322">
        <v>17</v>
      </c>
      <c r="C322">
        <v>7</v>
      </c>
      <c r="D322">
        <v>2</v>
      </c>
      <c r="E322" t="s">
        <v>4</v>
      </c>
      <c r="F322" t="s">
        <v>5</v>
      </c>
      <c r="G322">
        <v>89524</v>
      </c>
      <c r="H322" t="s">
        <v>21</v>
      </c>
    </row>
    <row r="323" spans="1:8" hidden="1" x14ac:dyDescent="0.25">
      <c r="A323" t="str">
        <f>Table1[[#This Row],[Lineage]]&amp;"-"&amp;Table1[[#This Row],[Lineage]]</f>
        <v>17-17</v>
      </c>
      <c r="B323">
        <v>17</v>
      </c>
      <c r="C323">
        <v>8</v>
      </c>
      <c r="D323">
        <v>2</v>
      </c>
      <c r="E323" t="s">
        <v>4</v>
      </c>
      <c r="F323" t="s">
        <v>5</v>
      </c>
      <c r="G323">
        <v>71212</v>
      </c>
      <c r="H323" t="s">
        <v>21</v>
      </c>
    </row>
    <row r="324" spans="1:8" hidden="1" x14ac:dyDescent="0.25">
      <c r="A324" t="str">
        <f>Table1[[#This Row],[Lineage]]&amp;"-"&amp;Table1[[#This Row],[Lineage]]</f>
        <v>17-17</v>
      </c>
      <c r="B324">
        <v>17</v>
      </c>
      <c r="C324">
        <v>9</v>
      </c>
      <c r="D324">
        <v>2</v>
      </c>
      <c r="E324" t="s">
        <v>4</v>
      </c>
      <c r="F324" t="s">
        <v>5</v>
      </c>
      <c r="G324">
        <v>70588</v>
      </c>
      <c r="H324" t="s">
        <v>21</v>
      </c>
    </row>
    <row r="325" spans="1:8" hidden="1" x14ac:dyDescent="0.25">
      <c r="A325" t="str">
        <f>Table1[[#This Row],[Lineage]]&amp;"-"&amp;Table1[[#This Row],[Lineage]]</f>
        <v>17-17</v>
      </c>
      <c r="B325">
        <v>17</v>
      </c>
      <c r="C325">
        <v>10</v>
      </c>
      <c r="D325">
        <v>2</v>
      </c>
      <c r="E325" t="s">
        <v>4</v>
      </c>
      <c r="F325" t="s">
        <v>5</v>
      </c>
      <c r="G325">
        <v>79925</v>
      </c>
      <c r="H325" t="s">
        <v>21</v>
      </c>
    </row>
    <row r="326" spans="1:8" hidden="1" x14ac:dyDescent="0.25">
      <c r="A326" t="str">
        <f>Table1[[#This Row],[Lineage]]&amp;"-"&amp;Table1[[#This Row],[Lineage]]</f>
        <v>17-17</v>
      </c>
      <c r="B326">
        <v>17</v>
      </c>
      <c r="C326">
        <v>11</v>
      </c>
      <c r="D326">
        <v>2</v>
      </c>
      <c r="E326" t="s">
        <v>4</v>
      </c>
      <c r="F326" t="s">
        <v>5</v>
      </c>
      <c r="G326">
        <v>96984</v>
      </c>
      <c r="H326" t="s">
        <v>21</v>
      </c>
    </row>
    <row r="327" spans="1:8" hidden="1" x14ac:dyDescent="0.25">
      <c r="A327" t="str">
        <f>Table1[[#This Row],[Lineage]]&amp;"-"&amp;Table1[[#This Row],[Lineage]]</f>
        <v>17-17</v>
      </c>
      <c r="B327">
        <v>17</v>
      </c>
      <c r="C327">
        <v>12</v>
      </c>
      <c r="D327">
        <v>2</v>
      </c>
      <c r="E327" t="s">
        <v>4</v>
      </c>
      <c r="F327" t="s">
        <v>5</v>
      </c>
      <c r="G327">
        <v>99801</v>
      </c>
      <c r="H327" t="s">
        <v>21</v>
      </c>
    </row>
    <row r="328" spans="1:8" hidden="1" x14ac:dyDescent="0.25">
      <c r="A328" t="str">
        <f>Table1[[#This Row],[Lineage]]&amp;"-"&amp;Table1[[#This Row],[Lineage]]</f>
        <v>17-17</v>
      </c>
      <c r="B328">
        <v>17</v>
      </c>
      <c r="C328">
        <v>13</v>
      </c>
      <c r="D328">
        <v>2</v>
      </c>
      <c r="E328" t="s">
        <v>4</v>
      </c>
      <c r="F328" t="s">
        <v>5</v>
      </c>
      <c r="G328">
        <v>76775</v>
      </c>
      <c r="H328" t="s">
        <v>21</v>
      </c>
    </row>
    <row r="329" spans="1:8" hidden="1" x14ac:dyDescent="0.25">
      <c r="A329" t="str">
        <f>Table1[[#This Row],[Lineage]]&amp;"-"&amp;Table1[[#This Row],[Lineage]]</f>
        <v>17-17</v>
      </c>
      <c r="B329">
        <v>17</v>
      </c>
      <c r="C329">
        <v>14</v>
      </c>
      <c r="D329">
        <v>2</v>
      </c>
      <c r="E329" t="s">
        <v>4</v>
      </c>
      <c r="F329" t="s">
        <v>5</v>
      </c>
      <c r="G329">
        <v>69694</v>
      </c>
      <c r="H329" t="s">
        <v>21</v>
      </c>
    </row>
    <row r="330" spans="1:8" hidden="1" x14ac:dyDescent="0.25">
      <c r="A330" t="str">
        <f>Table1[[#This Row],[Lineage]]&amp;"-"&amp;Table1[[#This Row],[Lineage]]</f>
        <v>17-17</v>
      </c>
      <c r="B330">
        <v>17</v>
      </c>
      <c r="C330">
        <v>15</v>
      </c>
      <c r="D330">
        <v>2</v>
      </c>
      <c r="E330" t="s">
        <v>4</v>
      </c>
      <c r="F330" t="s">
        <v>5</v>
      </c>
      <c r="G330">
        <v>130375</v>
      </c>
      <c r="H330" t="s">
        <v>21</v>
      </c>
    </row>
    <row r="331" spans="1:8" hidden="1" x14ac:dyDescent="0.25">
      <c r="A331" t="str">
        <f>Table1[[#This Row],[Lineage]]&amp;"-"&amp;Table1[[#This Row],[Lineage]]</f>
        <v>17-17</v>
      </c>
      <c r="B331">
        <v>17</v>
      </c>
      <c r="C331">
        <v>16</v>
      </c>
      <c r="D331">
        <v>2</v>
      </c>
      <c r="E331" t="s">
        <v>4</v>
      </c>
      <c r="F331" t="s">
        <v>5</v>
      </c>
      <c r="G331">
        <v>72338</v>
      </c>
      <c r="H331" t="s">
        <v>21</v>
      </c>
    </row>
    <row r="332" spans="1:8" hidden="1" x14ac:dyDescent="0.25">
      <c r="A332" t="str">
        <f>Table1[[#This Row],[Lineage]]&amp;"-"&amp;Table1[[#This Row],[Lineage]]</f>
        <v>17-17</v>
      </c>
      <c r="B332">
        <v>17</v>
      </c>
      <c r="C332">
        <v>17</v>
      </c>
      <c r="D332">
        <v>2</v>
      </c>
      <c r="E332" t="s">
        <v>4</v>
      </c>
      <c r="F332" t="s">
        <v>5</v>
      </c>
      <c r="G332">
        <v>71558</v>
      </c>
      <c r="H332" t="s">
        <v>21</v>
      </c>
    </row>
    <row r="333" spans="1:8" hidden="1" x14ac:dyDescent="0.25">
      <c r="A333" t="str">
        <f>Table1[[#This Row],[Lineage]]&amp;"-"&amp;Table1[[#This Row],[Lineage]]</f>
        <v>17-17</v>
      </c>
      <c r="B333">
        <v>17</v>
      </c>
      <c r="C333">
        <v>18</v>
      </c>
      <c r="D333">
        <v>2</v>
      </c>
      <c r="E333" t="s">
        <v>4</v>
      </c>
      <c r="F333" t="s">
        <v>5</v>
      </c>
      <c r="G333">
        <v>96125</v>
      </c>
      <c r="H333" t="s">
        <v>21</v>
      </c>
    </row>
    <row r="334" spans="1:8" hidden="1" x14ac:dyDescent="0.25">
      <c r="A334" t="str">
        <f>Table1[[#This Row],[Lineage]]&amp;"-"&amp;Table1[[#This Row],[Lineage]]</f>
        <v>17-17</v>
      </c>
      <c r="B334">
        <v>17</v>
      </c>
      <c r="C334">
        <v>19</v>
      </c>
      <c r="D334">
        <v>2</v>
      </c>
      <c r="E334" t="s">
        <v>4</v>
      </c>
      <c r="F334" t="s">
        <v>5</v>
      </c>
      <c r="G334">
        <v>89538</v>
      </c>
      <c r="H334" t="s">
        <v>21</v>
      </c>
    </row>
    <row r="335" spans="1:8" hidden="1" x14ac:dyDescent="0.25">
      <c r="A335" t="str">
        <f>Table1[[#This Row],[Lineage]]&amp;"-"&amp;Table1[[#This Row],[Lineage]]</f>
        <v>17-17</v>
      </c>
      <c r="B335">
        <v>17</v>
      </c>
      <c r="C335">
        <v>20</v>
      </c>
      <c r="D335">
        <v>2</v>
      </c>
      <c r="E335" t="s">
        <v>4</v>
      </c>
      <c r="F335" t="s">
        <v>5</v>
      </c>
      <c r="G335">
        <v>78406</v>
      </c>
      <c r="H335" t="s">
        <v>21</v>
      </c>
    </row>
    <row r="336" spans="1:8" hidden="1" x14ac:dyDescent="0.25">
      <c r="A336" t="str">
        <f>Table1[[#This Row],[Lineage]]&amp;"-"&amp;Table1[[#This Row],[Lineage]]</f>
        <v>18-18</v>
      </c>
      <c r="B336">
        <v>18</v>
      </c>
      <c r="C336">
        <v>1</v>
      </c>
      <c r="D336">
        <v>1</v>
      </c>
      <c r="E336" t="s">
        <v>22</v>
      </c>
      <c r="F336" t="s">
        <v>5</v>
      </c>
      <c r="G336">
        <v>78858</v>
      </c>
      <c r="H336" t="s">
        <v>28</v>
      </c>
    </row>
    <row r="337" spans="1:8" hidden="1" x14ac:dyDescent="0.25">
      <c r="A337" t="str">
        <f>Table1[[#This Row],[Lineage]]&amp;"-"&amp;Table1[[#This Row],[Lineage]]</f>
        <v>18-18</v>
      </c>
      <c r="B337">
        <v>18</v>
      </c>
      <c r="C337">
        <v>2</v>
      </c>
      <c r="D337">
        <v>1</v>
      </c>
      <c r="E337" t="s">
        <v>22</v>
      </c>
      <c r="F337" t="s">
        <v>5</v>
      </c>
      <c r="G337">
        <v>104340</v>
      </c>
      <c r="H337" t="s">
        <v>28</v>
      </c>
    </row>
    <row r="338" spans="1:8" hidden="1" x14ac:dyDescent="0.25">
      <c r="A338" t="str">
        <f>Table1[[#This Row],[Lineage]]&amp;"-"&amp;Table1[[#This Row],[Lineage]]</f>
        <v>18-18</v>
      </c>
      <c r="B338">
        <v>18</v>
      </c>
      <c r="C338">
        <v>3</v>
      </c>
      <c r="D338">
        <v>1</v>
      </c>
      <c r="E338" t="s">
        <v>22</v>
      </c>
      <c r="F338" t="s">
        <v>5</v>
      </c>
      <c r="G338">
        <v>98120</v>
      </c>
      <c r="H338" t="s">
        <v>28</v>
      </c>
    </row>
    <row r="339" spans="1:8" hidden="1" x14ac:dyDescent="0.25">
      <c r="A339" t="str">
        <f>Table1[[#This Row],[Lineage]]&amp;"-"&amp;Table1[[#This Row],[Lineage]]</f>
        <v>18-18</v>
      </c>
      <c r="B339">
        <v>18</v>
      </c>
      <c r="C339">
        <v>4</v>
      </c>
      <c r="D339">
        <v>1</v>
      </c>
      <c r="E339" t="s">
        <v>22</v>
      </c>
      <c r="F339" t="s">
        <v>5</v>
      </c>
      <c r="G339">
        <v>126517</v>
      </c>
      <c r="H339" t="s">
        <v>28</v>
      </c>
    </row>
    <row r="340" spans="1:8" hidden="1" x14ac:dyDescent="0.25">
      <c r="A340" t="str">
        <f>Table1[[#This Row],[Lineage]]&amp;"-"&amp;Table1[[#This Row],[Lineage]]</f>
        <v>18-18</v>
      </c>
      <c r="B340">
        <v>18</v>
      </c>
      <c r="C340">
        <v>5</v>
      </c>
      <c r="D340">
        <v>1</v>
      </c>
      <c r="E340" t="s">
        <v>22</v>
      </c>
      <c r="F340" t="s">
        <v>5</v>
      </c>
      <c r="G340">
        <v>87869</v>
      </c>
      <c r="H340" t="s">
        <v>28</v>
      </c>
    </row>
    <row r="341" spans="1:8" x14ac:dyDescent="0.25">
      <c r="A341" t="str">
        <f>Table1[[#This Row],[Lineage]]&amp;"-"&amp;Table1[[#This Row],[Lineage]]</f>
        <v>18-18</v>
      </c>
      <c r="B341">
        <v>18</v>
      </c>
      <c r="C341">
        <v>1</v>
      </c>
      <c r="D341">
        <v>2</v>
      </c>
      <c r="E341" t="s">
        <v>22</v>
      </c>
      <c r="F341" t="s">
        <v>5</v>
      </c>
      <c r="G341">
        <v>145072</v>
      </c>
      <c r="H341" t="s">
        <v>28</v>
      </c>
    </row>
    <row r="342" spans="1:8" hidden="1" x14ac:dyDescent="0.25">
      <c r="A342" t="str">
        <f>Table1[[#This Row],[Lineage]]&amp;"-"&amp;Table1[[#This Row],[Lineage]]</f>
        <v>18-18</v>
      </c>
      <c r="B342">
        <v>18</v>
      </c>
      <c r="C342">
        <v>2</v>
      </c>
      <c r="D342">
        <v>2</v>
      </c>
      <c r="E342" t="s">
        <v>22</v>
      </c>
      <c r="F342" t="s">
        <v>5</v>
      </c>
      <c r="G342">
        <v>99994</v>
      </c>
      <c r="H342" t="s">
        <v>28</v>
      </c>
    </row>
    <row r="343" spans="1:8" hidden="1" x14ac:dyDescent="0.25">
      <c r="A343" t="str">
        <f>Table1[[#This Row],[Lineage]]&amp;"-"&amp;Table1[[#This Row],[Lineage]]</f>
        <v>18-18</v>
      </c>
      <c r="B343">
        <v>18</v>
      </c>
      <c r="C343">
        <v>3</v>
      </c>
      <c r="D343">
        <v>2</v>
      </c>
      <c r="E343" t="s">
        <v>22</v>
      </c>
      <c r="F343" t="s">
        <v>5</v>
      </c>
      <c r="G343">
        <v>121168</v>
      </c>
      <c r="H343" t="s">
        <v>28</v>
      </c>
    </row>
    <row r="344" spans="1:8" x14ac:dyDescent="0.25">
      <c r="A344" t="str">
        <f>Table1[[#This Row],[Lineage]]&amp;"-"&amp;Table1[[#This Row],[Lineage]]</f>
        <v>18-18</v>
      </c>
      <c r="B344">
        <v>18</v>
      </c>
      <c r="C344">
        <v>4</v>
      </c>
      <c r="D344">
        <v>2</v>
      </c>
      <c r="E344" t="s">
        <v>22</v>
      </c>
      <c r="F344" t="s">
        <v>5</v>
      </c>
      <c r="G344">
        <v>163829</v>
      </c>
      <c r="H344" t="s">
        <v>28</v>
      </c>
    </row>
    <row r="345" spans="1:8" hidden="1" x14ac:dyDescent="0.25">
      <c r="A345" t="str">
        <f>Table1[[#This Row],[Lineage]]&amp;"-"&amp;Table1[[#This Row],[Lineage]]</f>
        <v>18-18</v>
      </c>
      <c r="B345">
        <v>18</v>
      </c>
      <c r="C345">
        <v>5</v>
      </c>
      <c r="D345">
        <v>2</v>
      </c>
      <c r="E345" t="s">
        <v>22</v>
      </c>
      <c r="F345" t="s">
        <v>5</v>
      </c>
      <c r="G345">
        <v>144425</v>
      </c>
      <c r="H345" t="s">
        <v>28</v>
      </c>
    </row>
    <row r="346" spans="1:8" hidden="1" x14ac:dyDescent="0.25">
      <c r="A346" t="str">
        <f>Table1[[#This Row],[Lineage]]&amp;"-"&amp;Table1[[#This Row],[Lineage]]</f>
        <v>19-19</v>
      </c>
      <c r="B346">
        <v>19</v>
      </c>
      <c r="C346">
        <v>1</v>
      </c>
      <c r="D346">
        <v>1</v>
      </c>
      <c r="E346" t="s">
        <v>8</v>
      </c>
      <c r="F346" t="s">
        <v>9</v>
      </c>
      <c r="G346">
        <v>98511</v>
      </c>
      <c r="H346" t="s">
        <v>29</v>
      </c>
    </row>
    <row r="347" spans="1:8" hidden="1" x14ac:dyDescent="0.25">
      <c r="A347" t="str">
        <f>Table1[[#This Row],[Lineage]]&amp;"-"&amp;Table1[[#This Row],[Lineage]]</f>
        <v>19-19</v>
      </c>
      <c r="B347">
        <v>19</v>
      </c>
      <c r="C347">
        <v>2</v>
      </c>
      <c r="D347">
        <v>1</v>
      </c>
      <c r="E347" t="s">
        <v>8</v>
      </c>
      <c r="F347" t="s">
        <v>9</v>
      </c>
      <c r="G347">
        <v>77512</v>
      </c>
      <c r="H347" t="s">
        <v>29</v>
      </c>
    </row>
    <row r="348" spans="1:8" hidden="1" x14ac:dyDescent="0.25">
      <c r="A348" t="str">
        <f>Table1[[#This Row],[Lineage]]&amp;"-"&amp;Table1[[#This Row],[Lineage]]</f>
        <v>19-19</v>
      </c>
      <c r="B348">
        <v>19</v>
      </c>
      <c r="C348">
        <v>3</v>
      </c>
      <c r="D348">
        <v>1</v>
      </c>
      <c r="E348" t="s">
        <v>8</v>
      </c>
      <c r="F348" t="s">
        <v>9</v>
      </c>
      <c r="G348">
        <v>133185</v>
      </c>
      <c r="H348" t="s">
        <v>29</v>
      </c>
    </row>
    <row r="349" spans="1:8" hidden="1" x14ac:dyDescent="0.25">
      <c r="A349" t="str">
        <f>Table1[[#This Row],[Lineage]]&amp;"-"&amp;Table1[[#This Row],[Lineage]]</f>
        <v>19-19</v>
      </c>
      <c r="B349">
        <v>19</v>
      </c>
      <c r="C349">
        <v>4</v>
      </c>
      <c r="D349">
        <v>1</v>
      </c>
      <c r="E349" t="s">
        <v>8</v>
      </c>
      <c r="F349" t="s">
        <v>9</v>
      </c>
      <c r="G349">
        <v>96996</v>
      </c>
      <c r="H349" t="s">
        <v>29</v>
      </c>
    </row>
    <row r="350" spans="1:8" hidden="1" x14ac:dyDescent="0.25">
      <c r="A350" t="str">
        <f>Table1[[#This Row],[Lineage]]&amp;"-"&amp;Table1[[#This Row],[Lineage]]</f>
        <v>19-19</v>
      </c>
      <c r="B350">
        <v>19</v>
      </c>
      <c r="C350">
        <v>5</v>
      </c>
      <c r="D350">
        <v>1</v>
      </c>
      <c r="E350" t="s">
        <v>8</v>
      </c>
      <c r="F350" t="s">
        <v>9</v>
      </c>
      <c r="G350">
        <v>67143</v>
      </c>
      <c r="H350" t="s">
        <v>29</v>
      </c>
    </row>
    <row r="351" spans="1:8" hidden="1" x14ac:dyDescent="0.25">
      <c r="A351" t="str">
        <f>Table1[[#This Row],[Lineage]]&amp;"-"&amp;Table1[[#This Row],[Lineage]]</f>
        <v>19-19</v>
      </c>
      <c r="B351">
        <v>19</v>
      </c>
      <c r="C351">
        <v>1</v>
      </c>
      <c r="D351">
        <v>2</v>
      </c>
      <c r="E351" t="s">
        <v>8</v>
      </c>
      <c r="F351" t="s">
        <v>9</v>
      </c>
      <c r="G351">
        <v>109793</v>
      </c>
      <c r="H351" t="s">
        <v>29</v>
      </c>
    </row>
    <row r="352" spans="1:8" hidden="1" x14ac:dyDescent="0.25">
      <c r="A352" t="str">
        <f>Table1[[#This Row],[Lineage]]&amp;"-"&amp;Table1[[#This Row],[Lineage]]</f>
        <v>19-19</v>
      </c>
      <c r="B352">
        <v>19</v>
      </c>
      <c r="C352">
        <v>2</v>
      </c>
      <c r="D352">
        <v>2</v>
      </c>
      <c r="E352" t="s">
        <v>8</v>
      </c>
      <c r="F352" t="s">
        <v>9</v>
      </c>
      <c r="G352">
        <v>122785</v>
      </c>
      <c r="H352" t="s">
        <v>29</v>
      </c>
    </row>
    <row r="353" spans="1:8" hidden="1" x14ac:dyDescent="0.25">
      <c r="A353" t="str">
        <f>Table1[[#This Row],[Lineage]]&amp;"-"&amp;Table1[[#This Row],[Lineage]]</f>
        <v>19-19</v>
      </c>
      <c r="B353">
        <v>19</v>
      </c>
      <c r="C353">
        <v>3</v>
      </c>
      <c r="D353">
        <v>2</v>
      </c>
      <c r="E353" t="s">
        <v>8</v>
      </c>
      <c r="F353" t="s">
        <v>9</v>
      </c>
      <c r="G353">
        <v>125780</v>
      </c>
      <c r="H353" t="s">
        <v>29</v>
      </c>
    </row>
    <row r="354" spans="1:8" hidden="1" x14ac:dyDescent="0.25">
      <c r="A354" t="str">
        <f>Table1[[#This Row],[Lineage]]&amp;"-"&amp;Table1[[#This Row],[Lineage]]</f>
        <v>19-19</v>
      </c>
      <c r="B354">
        <v>19</v>
      </c>
      <c r="C354">
        <v>4</v>
      </c>
      <c r="D354">
        <v>2</v>
      </c>
      <c r="E354" t="s">
        <v>8</v>
      </c>
      <c r="F354" t="s">
        <v>9</v>
      </c>
      <c r="G354">
        <v>86926</v>
      </c>
      <c r="H354" t="s">
        <v>29</v>
      </c>
    </row>
    <row r="355" spans="1:8" hidden="1" x14ac:dyDescent="0.25">
      <c r="A355" t="str">
        <f>Table1[[#This Row],[Lineage]]&amp;"-"&amp;Table1[[#This Row],[Lineage]]</f>
        <v>19-19</v>
      </c>
      <c r="B355">
        <v>19</v>
      </c>
      <c r="C355">
        <v>5</v>
      </c>
      <c r="D355">
        <v>2</v>
      </c>
      <c r="E355" t="s">
        <v>8</v>
      </c>
      <c r="F355" t="s">
        <v>9</v>
      </c>
      <c r="G355">
        <v>103319</v>
      </c>
      <c r="H355" t="s">
        <v>29</v>
      </c>
    </row>
    <row r="356" spans="1:8" hidden="1" x14ac:dyDescent="0.25">
      <c r="A356" t="str">
        <f>Table1[[#This Row],[Lineage]]&amp;"-"&amp;Table1[[#This Row],[Lineage]]</f>
        <v>20-20</v>
      </c>
      <c r="B356">
        <v>20</v>
      </c>
      <c r="C356">
        <v>1</v>
      </c>
      <c r="D356">
        <v>1</v>
      </c>
      <c r="E356" t="s">
        <v>8</v>
      </c>
      <c r="F356" t="s">
        <v>9</v>
      </c>
      <c r="G356">
        <v>44601</v>
      </c>
      <c r="H356" t="s">
        <v>30</v>
      </c>
    </row>
    <row r="357" spans="1:8" hidden="1" x14ac:dyDescent="0.25">
      <c r="A357" t="str">
        <f>Table1[[#This Row],[Lineage]]&amp;"-"&amp;Table1[[#This Row],[Lineage]]</f>
        <v>20-20</v>
      </c>
      <c r="B357">
        <v>20</v>
      </c>
      <c r="C357">
        <v>2</v>
      </c>
      <c r="D357">
        <v>1</v>
      </c>
      <c r="E357" t="s">
        <v>8</v>
      </c>
      <c r="F357" t="s">
        <v>9</v>
      </c>
      <c r="G357">
        <v>68280</v>
      </c>
      <c r="H357" t="s">
        <v>30</v>
      </c>
    </row>
    <row r="358" spans="1:8" hidden="1" x14ac:dyDescent="0.25">
      <c r="A358" t="str">
        <f>Table1[[#This Row],[Lineage]]&amp;"-"&amp;Table1[[#This Row],[Lineage]]</f>
        <v>20-20</v>
      </c>
      <c r="B358">
        <v>20</v>
      </c>
      <c r="C358">
        <v>3</v>
      </c>
      <c r="D358">
        <v>1</v>
      </c>
      <c r="E358" t="s">
        <v>8</v>
      </c>
      <c r="F358" t="s">
        <v>9</v>
      </c>
      <c r="G358">
        <v>74704</v>
      </c>
      <c r="H358" t="s">
        <v>30</v>
      </c>
    </row>
    <row r="359" spans="1:8" hidden="1" x14ac:dyDescent="0.25">
      <c r="A359" t="str">
        <f>Table1[[#This Row],[Lineage]]&amp;"-"&amp;Table1[[#This Row],[Lineage]]</f>
        <v>20-20</v>
      </c>
      <c r="B359">
        <v>20</v>
      </c>
      <c r="C359">
        <v>4</v>
      </c>
      <c r="D359">
        <v>1</v>
      </c>
      <c r="E359" t="s">
        <v>8</v>
      </c>
      <c r="F359" t="s">
        <v>9</v>
      </c>
      <c r="G359">
        <v>64708</v>
      </c>
      <c r="H359" t="s">
        <v>30</v>
      </c>
    </row>
    <row r="360" spans="1:8" hidden="1" x14ac:dyDescent="0.25">
      <c r="A360" t="str">
        <f>Table1[[#This Row],[Lineage]]&amp;"-"&amp;Table1[[#This Row],[Lineage]]</f>
        <v>20-20</v>
      </c>
      <c r="B360">
        <v>20</v>
      </c>
      <c r="C360">
        <v>5</v>
      </c>
      <c r="D360">
        <v>1</v>
      </c>
      <c r="E360" t="s">
        <v>8</v>
      </c>
      <c r="F360" t="s">
        <v>9</v>
      </c>
      <c r="G360">
        <v>73292</v>
      </c>
      <c r="H360" t="s">
        <v>30</v>
      </c>
    </row>
    <row r="361" spans="1:8" hidden="1" x14ac:dyDescent="0.25">
      <c r="A361" t="str">
        <f>Table1[[#This Row],[Lineage]]&amp;"-"&amp;Table1[[#This Row],[Lineage]]</f>
        <v>20-20</v>
      </c>
      <c r="B361">
        <v>20</v>
      </c>
      <c r="C361">
        <v>1</v>
      </c>
      <c r="D361">
        <v>2</v>
      </c>
      <c r="E361" t="s">
        <v>8</v>
      </c>
      <c r="F361" t="s">
        <v>9</v>
      </c>
      <c r="G361">
        <v>73006</v>
      </c>
      <c r="H361" t="s">
        <v>30</v>
      </c>
    </row>
    <row r="362" spans="1:8" hidden="1" x14ac:dyDescent="0.25">
      <c r="A362" t="str">
        <f>Table1[[#This Row],[Lineage]]&amp;"-"&amp;Table1[[#This Row],[Lineage]]</f>
        <v>20-20</v>
      </c>
      <c r="B362">
        <v>20</v>
      </c>
      <c r="C362">
        <v>2</v>
      </c>
      <c r="D362">
        <v>2</v>
      </c>
      <c r="E362" t="s">
        <v>8</v>
      </c>
      <c r="F362" t="s">
        <v>9</v>
      </c>
      <c r="G362">
        <v>85170</v>
      </c>
      <c r="H362" t="s">
        <v>30</v>
      </c>
    </row>
    <row r="363" spans="1:8" hidden="1" x14ac:dyDescent="0.25">
      <c r="A363" t="str">
        <f>Table1[[#This Row],[Lineage]]&amp;"-"&amp;Table1[[#This Row],[Lineage]]</f>
        <v>20-20</v>
      </c>
      <c r="B363">
        <v>20</v>
      </c>
      <c r="C363">
        <v>3</v>
      </c>
      <c r="D363">
        <v>2</v>
      </c>
      <c r="E363" t="s">
        <v>8</v>
      </c>
      <c r="F363" t="s">
        <v>9</v>
      </c>
      <c r="G363">
        <v>69469</v>
      </c>
      <c r="H363" t="s">
        <v>30</v>
      </c>
    </row>
    <row r="364" spans="1:8" hidden="1" x14ac:dyDescent="0.25">
      <c r="A364" t="str">
        <f>Table1[[#This Row],[Lineage]]&amp;"-"&amp;Table1[[#This Row],[Lineage]]</f>
        <v>20-20</v>
      </c>
      <c r="B364">
        <v>20</v>
      </c>
      <c r="C364">
        <v>4</v>
      </c>
      <c r="D364">
        <v>2</v>
      </c>
      <c r="E364" t="s">
        <v>8</v>
      </c>
      <c r="F364" t="s">
        <v>9</v>
      </c>
      <c r="G364">
        <v>68793</v>
      </c>
      <c r="H364" t="s">
        <v>30</v>
      </c>
    </row>
    <row r="365" spans="1:8" hidden="1" x14ac:dyDescent="0.25">
      <c r="A365" t="str">
        <f>Table1[[#This Row],[Lineage]]&amp;"-"&amp;Table1[[#This Row],[Lineage]]</f>
        <v>20-20</v>
      </c>
      <c r="B365">
        <v>20</v>
      </c>
      <c r="C365">
        <v>5</v>
      </c>
      <c r="D365">
        <v>2</v>
      </c>
      <c r="E365" t="s">
        <v>8</v>
      </c>
      <c r="F365" t="s">
        <v>9</v>
      </c>
      <c r="G365">
        <v>39757</v>
      </c>
      <c r="H365" t="s">
        <v>30</v>
      </c>
    </row>
    <row r="366" spans="1:8" hidden="1" x14ac:dyDescent="0.25">
      <c r="A366" t="str">
        <f>Table1[[#This Row],[Lineage]]&amp;"-"&amp;Table1[[#This Row],[Lineage]]</f>
        <v>21-21</v>
      </c>
      <c r="B366">
        <v>21</v>
      </c>
      <c r="C366">
        <v>1</v>
      </c>
      <c r="D366">
        <v>1</v>
      </c>
      <c r="E366" t="s">
        <v>8</v>
      </c>
      <c r="F366" t="s">
        <v>9</v>
      </c>
      <c r="G366">
        <v>45987</v>
      </c>
      <c r="H366" t="s">
        <v>41</v>
      </c>
    </row>
    <row r="367" spans="1:8" hidden="1" x14ac:dyDescent="0.25">
      <c r="A367" t="str">
        <f>Table1[[#This Row],[Lineage]]&amp;"-"&amp;Table1[[#This Row],[Lineage]]</f>
        <v>21-21</v>
      </c>
      <c r="B367">
        <v>21</v>
      </c>
      <c r="C367">
        <v>2</v>
      </c>
      <c r="D367">
        <v>1</v>
      </c>
      <c r="E367" t="s">
        <v>8</v>
      </c>
      <c r="F367" t="s">
        <v>9</v>
      </c>
      <c r="G367">
        <v>43166</v>
      </c>
      <c r="H367" t="s">
        <v>41</v>
      </c>
    </row>
    <row r="368" spans="1:8" hidden="1" x14ac:dyDescent="0.25">
      <c r="A368" t="str">
        <f>Table1[[#This Row],[Lineage]]&amp;"-"&amp;Table1[[#This Row],[Lineage]]</f>
        <v>21-21</v>
      </c>
      <c r="B368">
        <v>21</v>
      </c>
      <c r="C368">
        <v>3</v>
      </c>
      <c r="D368">
        <v>1</v>
      </c>
      <c r="E368" t="s">
        <v>8</v>
      </c>
      <c r="F368" t="s">
        <v>9</v>
      </c>
      <c r="G368">
        <v>127052</v>
      </c>
      <c r="H368" t="s">
        <v>41</v>
      </c>
    </row>
    <row r="369" spans="1:8" hidden="1" x14ac:dyDescent="0.25">
      <c r="A369" t="str">
        <f>Table1[[#This Row],[Lineage]]&amp;"-"&amp;Table1[[#This Row],[Lineage]]</f>
        <v>21-21</v>
      </c>
      <c r="B369">
        <v>21</v>
      </c>
      <c r="C369">
        <v>4</v>
      </c>
      <c r="D369">
        <v>1</v>
      </c>
      <c r="E369" t="s">
        <v>8</v>
      </c>
      <c r="F369" t="s">
        <v>9</v>
      </c>
      <c r="G369">
        <v>83673</v>
      </c>
      <c r="H369" t="s">
        <v>41</v>
      </c>
    </row>
    <row r="370" spans="1:8" hidden="1" x14ac:dyDescent="0.25">
      <c r="A370" t="str">
        <f>Table1[[#This Row],[Lineage]]&amp;"-"&amp;Table1[[#This Row],[Lineage]]</f>
        <v>21-21</v>
      </c>
      <c r="B370">
        <v>21</v>
      </c>
      <c r="C370">
        <v>5</v>
      </c>
      <c r="D370">
        <v>1</v>
      </c>
      <c r="E370" t="s">
        <v>8</v>
      </c>
      <c r="F370" t="s">
        <v>9</v>
      </c>
      <c r="G370">
        <v>69681</v>
      </c>
      <c r="H370" t="s">
        <v>41</v>
      </c>
    </row>
    <row r="371" spans="1:8" hidden="1" x14ac:dyDescent="0.25">
      <c r="A371" t="str">
        <f>Table1[[#This Row],[Lineage]]&amp;"-"&amp;Table1[[#This Row],[Lineage]]</f>
        <v>21-21</v>
      </c>
      <c r="B371">
        <v>21</v>
      </c>
      <c r="C371">
        <v>1</v>
      </c>
      <c r="D371">
        <v>2</v>
      </c>
      <c r="E371" t="s">
        <v>8</v>
      </c>
      <c r="F371" t="s">
        <v>9</v>
      </c>
      <c r="G371">
        <v>61248</v>
      </c>
      <c r="H371" t="s">
        <v>41</v>
      </c>
    </row>
    <row r="372" spans="1:8" hidden="1" x14ac:dyDescent="0.25">
      <c r="A372" t="str">
        <f>Table1[[#This Row],[Lineage]]&amp;"-"&amp;Table1[[#This Row],[Lineage]]</f>
        <v>21-21</v>
      </c>
      <c r="B372">
        <v>21</v>
      </c>
      <c r="C372">
        <v>2</v>
      </c>
      <c r="D372">
        <v>2</v>
      </c>
      <c r="E372" t="s">
        <v>8</v>
      </c>
      <c r="F372" t="s">
        <v>9</v>
      </c>
      <c r="G372">
        <v>58552</v>
      </c>
      <c r="H372" t="s">
        <v>41</v>
      </c>
    </row>
    <row r="373" spans="1:8" hidden="1" x14ac:dyDescent="0.25">
      <c r="A373" t="str">
        <f>Table1[[#This Row],[Lineage]]&amp;"-"&amp;Table1[[#This Row],[Lineage]]</f>
        <v>21-21</v>
      </c>
      <c r="B373">
        <v>21</v>
      </c>
      <c r="C373">
        <v>3</v>
      </c>
      <c r="D373">
        <v>2</v>
      </c>
      <c r="E373" t="s">
        <v>8</v>
      </c>
      <c r="F373" t="s">
        <v>9</v>
      </c>
      <c r="G373">
        <v>125252</v>
      </c>
      <c r="H373" t="s">
        <v>41</v>
      </c>
    </row>
    <row r="374" spans="1:8" hidden="1" x14ac:dyDescent="0.25">
      <c r="A374" t="str">
        <f>Table1[[#This Row],[Lineage]]&amp;"-"&amp;Table1[[#This Row],[Lineage]]</f>
        <v>21-21</v>
      </c>
      <c r="B374">
        <v>21</v>
      </c>
      <c r="C374">
        <v>4</v>
      </c>
      <c r="D374">
        <v>2</v>
      </c>
      <c r="E374" t="s">
        <v>8</v>
      </c>
      <c r="F374" t="s">
        <v>9</v>
      </c>
      <c r="G374">
        <v>97044</v>
      </c>
      <c r="H374" t="s">
        <v>41</v>
      </c>
    </row>
    <row r="375" spans="1:8" hidden="1" x14ac:dyDescent="0.25">
      <c r="A375" t="str">
        <f>Table1[[#This Row],[Lineage]]&amp;"-"&amp;Table1[[#This Row],[Lineage]]</f>
        <v>21-21</v>
      </c>
      <c r="B375">
        <v>21</v>
      </c>
      <c r="C375">
        <v>5</v>
      </c>
      <c r="D375">
        <v>2</v>
      </c>
      <c r="E375" t="s">
        <v>8</v>
      </c>
      <c r="F375" t="s">
        <v>9</v>
      </c>
      <c r="G375">
        <v>70591</v>
      </c>
      <c r="H375" t="s">
        <v>41</v>
      </c>
    </row>
    <row r="376" spans="1:8" hidden="1" x14ac:dyDescent="0.25">
      <c r="A376" t="str">
        <f>Table1[[#This Row],[Lineage]]&amp;"-"&amp;Table1[[#This Row],[Lineage]]</f>
        <v>22-22</v>
      </c>
      <c r="B376">
        <v>22</v>
      </c>
      <c r="C376">
        <v>1</v>
      </c>
      <c r="D376">
        <v>1</v>
      </c>
      <c r="E376" t="s">
        <v>8</v>
      </c>
      <c r="F376" t="s">
        <v>9</v>
      </c>
      <c r="G376">
        <v>44269</v>
      </c>
      <c r="H376" t="s">
        <v>42</v>
      </c>
    </row>
    <row r="377" spans="1:8" hidden="1" x14ac:dyDescent="0.25">
      <c r="A377" t="str">
        <f>Table1[[#This Row],[Lineage]]&amp;"-"&amp;Table1[[#This Row],[Lineage]]</f>
        <v>22-22</v>
      </c>
      <c r="B377">
        <v>22</v>
      </c>
      <c r="C377">
        <v>2</v>
      </c>
      <c r="D377">
        <v>1</v>
      </c>
      <c r="E377" t="s">
        <v>8</v>
      </c>
      <c r="F377" t="s">
        <v>9</v>
      </c>
      <c r="G377">
        <v>125233</v>
      </c>
      <c r="H377" t="s">
        <v>42</v>
      </c>
    </row>
    <row r="378" spans="1:8" hidden="1" x14ac:dyDescent="0.25">
      <c r="A378" t="str">
        <f>Table1[[#This Row],[Lineage]]&amp;"-"&amp;Table1[[#This Row],[Lineage]]</f>
        <v>22-22</v>
      </c>
      <c r="B378">
        <v>22</v>
      </c>
      <c r="C378">
        <v>3</v>
      </c>
      <c r="D378">
        <v>1</v>
      </c>
      <c r="E378" t="s">
        <v>8</v>
      </c>
      <c r="F378" t="s">
        <v>9</v>
      </c>
      <c r="G378">
        <v>120127</v>
      </c>
      <c r="H378" t="s">
        <v>42</v>
      </c>
    </row>
    <row r="379" spans="1:8" hidden="1" x14ac:dyDescent="0.25">
      <c r="A379" t="str">
        <f>Table1[[#This Row],[Lineage]]&amp;"-"&amp;Table1[[#This Row],[Lineage]]</f>
        <v>22-22</v>
      </c>
      <c r="B379">
        <v>22</v>
      </c>
      <c r="C379">
        <v>4</v>
      </c>
      <c r="D379">
        <v>1</v>
      </c>
      <c r="E379" t="s">
        <v>8</v>
      </c>
      <c r="F379" t="s">
        <v>9</v>
      </c>
      <c r="G379">
        <v>48279</v>
      </c>
      <c r="H379" t="s">
        <v>42</v>
      </c>
    </row>
    <row r="380" spans="1:8" hidden="1" x14ac:dyDescent="0.25">
      <c r="A380" t="str">
        <f>Table1[[#This Row],[Lineage]]&amp;"-"&amp;Table1[[#This Row],[Lineage]]</f>
        <v>22-22</v>
      </c>
      <c r="B380">
        <v>22</v>
      </c>
      <c r="C380">
        <v>5</v>
      </c>
      <c r="D380">
        <v>1</v>
      </c>
      <c r="E380" t="s">
        <v>8</v>
      </c>
      <c r="F380" t="s">
        <v>9</v>
      </c>
      <c r="G380">
        <v>70768</v>
      </c>
      <c r="H380" t="s">
        <v>42</v>
      </c>
    </row>
    <row r="381" spans="1:8" hidden="1" x14ac:dyDescent="0.25">
      <c r="A381" t="str">
        <f>Table1[[#This Row],[Lineage]]&amp;"-"&amp;Table1[[#This Row],[Lineage]]</f>
        <v>22-22</v>
      </c>
      <c r="B381">
        <v>22</v>
      </c>
      <c r="C381">
        <v>6</v>
      </c>
      <c r="D381">
        <v>1</v>
      </c>
      <c r="E381" t="s">
        <v>8</v>
      </c>
      <c r="F381" t="s">
        <v>9</v>
      </c>
      <c r="G381">
        <v>87903</v>
      </c>
      <c r="H381" t="s">
        <v>42</v>
      </c>
    </row>
    <row r="382" spans="1:8" hidden="1" x14ac:dyDescent="0.25">
      <c r="A382" t="str">
        <f>Table1[[#This Row],[Lineage]]&amp;"-"&amp;Table1[[#This Row],[Lineage]]</f>
        <v>22-22</v>
      </c>
      <c r="B382">
        <v>22</v>
      </c>
      <c r="C382">
        <v>7</v>
      </c>
      <c r="D382">
        <v>1</v>
      </c>
      <c r="E382" t="s">
        <v>8</v>
      </c>
      <c r="F382" t="s">
        <v>9</v>
      </c>
      <c r="G382">
        <v>22178</v>
      </c>
      <c r="H382" t="s">
        <v>42</v>
      </c>
    </row>
    <row r="383" spans="1:8" hidden="1" x14ac:dyDescent="0.25">
      <c r="A383" t="str">
        <f>Table1[[#This Row],[Lineage]]&amp;"-"&amp;Table1[[#This Row],[Lineage]]</f>
        <v>22-22</v>
      </c>
      <c r="B383">
        <v>22</v>
      </c>
      <c r="C383">
        <v>8</v>
      </c>
      <c r="D383">
        <v>1</v>
      </c>
      <c r="E383" t="s">
        <v>8</v>
      </c>
      <c r="F383" t="s">
        <v>9</v>
      </c>
      <c r="G383">
        <v>58788</v>
      </c>
      <c r="H383" t="s">
        <v>42</v>
      </c>
    </row>
    <row r="384" spans="1:8" hidden="1" x14ac:dyDescent="0.25">
      <c r="A384" t="str">
        <f>Table1[[#This Row],[Lineage]]&amp;"-"&amp;Table1[[#This Row],[Lineage]]</f>
        <v>22-22</v>
      </c>
      <c r="B384">
        <v>22</v>
      </c>
      <c r="C384">
        <v>9</v>
      </c>
      <c r="D384">
        <v>1</v>
      </c>
      <c r="E384" t="s">
        <v>8</v>
      </c>
      <c r="F384" t="s">
        <v>9</v>
      </c>
      <c r="G384">
        <v>46817</v>
      </c>
      <c r="H384" t="s">
        <v>42</v>
      </c>
    </row>
    <row r="385" spans="1:8" hidden="1" x14ac:dyDescent="0.25">
      <c r="A385" t="str">
        <f>Table1[[#This Row],[Lineage]]&amp;"-"&amp;Table1[[#This Row],[Lineage]]</f>
        <v>22-22</v>
      </c>
      <c r="B385">
        <v>22</v>
      </c>
      <c r="C385">
        <v>1</v>
      </c>
      <c r="D385">
        <v>2</v>
      </c>
      <c r="E385" t="s">
        <v>8</v>
      </c>
      <c r="F385" t="s">
        <v>9</v>
      </c>
      <c r="G385">
        <v>55766</v>
      </c>
      <c r="H385" t="s">
        <v>42</v>
      </c>
    </row>
    <row r="386" spans="1:8" hidden="1" x14ac:dyDescent="0.25">
      <c r="A386" t="str">
        <f>Table1[[#This Row],[Lineage]]&amp;"-"&amp;Table1[[#This Row],[Lineage]]</f>
        <v>22-22</v>
      </c>
      <c r="B386">
        <v>22</v>
      </c>
      <c r="C386">
        <v>2</v>
      </c>
      <c r="D386">
        <v>2</v>
      </c>
      <c r="E386" t="s">
        <v>8</v>
      </c>
      <c r="F386" t="s">
        <v>9</v>
      </c>
      <c r="G386">
        <v>45261</v>
      </c>
      <c r="H386" t="s">
        <v>42</v>
      </c>
    </row>
    <row r="387" spans="1:8" hidden="1" x14ac:dyDescent="0.25">
      <c r="A387" t="str">
        <f>Table1[[#This Row],[Lineage]]&amp;"-"&amp;Table1[[#This Row],[Lineage]]</f>
        <v>22-22</v>
      </c>
      <c r="B387">
        <v>22</v>
      </c>
      <c r="C387">
        <v>3</v>
      </c>
      <c r="D387">
        <v>2</v>
      </c>
      <c r="E387" t="s">
        <v>8</v>
      </c>
      <c r="F387" t="s">
        <v>9</v>
      </c>
      <c r="G387">
        <v>79781</v>
      </c>
      <c r="H387" t="s">
        <v>42</v>
      </c>
    </row>
    <row r="388" spans="1:8" hidden="1" x14ac:dyDescent="0.25">
      <c r="A388" t="str">
        <f>Table1[[#This Row],[Lineage]]&amp;"-"&amp;Table1[[#This Row],[Lineage]]</f>
        <v>22-22</v>
      </c>
      <c r="B388">
        <v>22</v>
      </c>
      <c r="C388">
        <v>4</v>
      </c>
      <c r="D388">
        <v>2</v>
      </c>
      <c r="E388" t="s">
        <v>8</v>
      </c>
      <c r="F388" t="s">
        <v>9</v>
      </c>
      <c r="G388">
        <v>44833</v>
      </c>
      <c r="H388" t="s">
        <v>42</v>
      </c>
    </row>
    <row r="389" spans="1:8" hidden="1" x14ac:dyDescent="0.25">
      <c r="A389" t="str">
        <f>Table1[[#This Row],[Lineage]]&amp;"-"&amp;Table1[[#This Row],[Lineage]]</f>
        <v>22-22</v>
      </c>
      <c r="B389">
        <v>22</v>
      </c>
      <c r="C389">
        <v>5</v>
      </c>
      <c r="D389">
        <v>2</v>
      </c>
      <c r="E389" t="s">
        <v>8</v>
      </c>
      <c r="F389" t="s">
        <v>9</v>
      </c>
      <c r="G389">
        <v>103104</v>
      </c>
      <c r="H389" t="s">
        <v>42</v>
      </c>
    </row>
    <row r="390" spans="1:8" hidden="1" x14ac:dyDescent="0.25">
      <c r="A390" t="str">
        <f>Table1[[#This Row],[Lineage]]&amp;"-"&amp;Table1[[#This Row],[Lineage]]</f>
        <v>22-22</v>
      </c>
      <c r="B390">
        <v>22</v>
      </c>
      <c r="C390">
        <v>6</v>
      </c>
      <c r="D390">
        <v>2</v>
      </c>
      <c r="E390" t="s">
        <v>8</v>
      </c>
      <c r="F390" t="s">
        <v>9</v>
      </c>
      <c r="G390">
        <v>72873</v>
      </c>
      <c r="H390" t="s">
        <v>42</v>
      </c>
    </row>
    <row r="391" spans="1:8" x14ac:dyDescent="0.25">
      <c r="A391" t="str">
        <f>Table1[[#This Row],[Lineage]]&amp;"-"&amp;Table1[[#This Row],[Lineage]]</f>
        <v>22-22</v>
      </c>
      <c r="B391">
        <v>22</v>
      </c>
      <c r="C391">
        <v>7</v>
      </c>
      <c r="D391">
        <v>2</v>
      </c>
      <c r="E391" t="s">
        <v>8</v>
      </c>
      <c r="F391" t="s">
        <v>9</v>
      </c>
      <c r="G391">
        <v>180000</v>
      </c>
      <c r="H391" t="s">
        <v>43</v>
      </c>
    </row>
    <row r="392" spans="1:8" hidden="1" x14ac:dyDescent="0.25">
      <c r="A392" t="str">
        <f>Table1[[#This Row],[Lineage]]&amp;"-"&amp;Table1[[#This Row],[Lineage]]</f>
        <v>22-22</v>
      </c>
      <c r="B392">
        <v>22</v>
      </c>
      <c r="C392">
        <v>8</v>
      </c>
      <c r="D392">
        <v>2</v>
      </c>
      <c r="E392" t="s">
        <v>8</v>
      </c>
      <c r="F392" t="s">
        <v>9</v>
      </c>
      <c r="G392">
        <v>51570</v>
      </c>
      <c r="H392" t="s">
        <v>42</v>
      </c>
    </row>
    <row r="393" spans="1:8" x14ac:dyDescent="0.25">
      <c r="A393" t="str">
        <f>Table1[[#This Row],[Lineage]]&amp;"-"&amp;Table1[[#This Row],[Lineage]]</f>
        <v>22-22</v>
      </c>
      <c r="B393">
        <v>22</v>
      </c>
      <c r="C393">
        <v>9</v>
      </c>
      <c r="D393">
        <v>2</v>
      </c>
      <c r="E393" t="s">
        <v>8</v>
      </c>
      <c r="F393" t="s">
        <v>9</v>
      </c>
      <c r="G393">
        <v>180000</v>
      </c>
      <c r="H393" t="s">
        <v>44</v>
      </c>
    </row>
    <row r="394" spans="1:8" hidden="1" x14ac:dyDescent="0.25">
      <c r="A394" t="str">
        <f>Table1[[#This Row],[Lineage]]&amp;"-"&amp;Table1[[#This Row],[Lineage]]</f>
        <v>23-23</v>
      </c>
      <c r="B394">
        <v>23</v>
      </c>
      <c r="C394">
        <v>1</v>
      </c>
      <c r="D394">
        <v>1</v>
      </c>
      <c r="E394" t="s">
        <v>33</v>
      </c>
      <c r="F394" t="s">
        <v>5</v>
      </c>
      <c r="G394">
        <v>85402</v>
      </c>
      <c r="H394" t="s">
        <v>34</v>
      </c>
    </row>
    <row r="395" spans="1:8" hidden="1" x14ac:dyDescent="0.25">
      <c r="A395" t="str">
        <f>Table1[[#This Row],[Lineage]]&amp;"-"&amp;Table1[[#This Row],[Lineage]]</f>
        <v>23-23</v>
      </c>
      <c r="B395">
        <v>23</v>
      </c>
      <c r="C395">
        <v>2</v>
      </c>
      <c r="D395">
        <v>1</v>
      </c>
      <c r="E395" t="s">
        <v>33</v>
      </c>
      <c r="F395" t="s">
        <v>5</v>
      </c>
      <c r="G395">
        <v>76128</v>
      </c>
      <c r="H395" t="s">
        <v>34</v>
      </c>
    </row>
    <row r="396" spans="1:8" hidden="1" x14ac:dyDescent="0.25">
      <c r="A396" t="str">
        <f>Table1[[#This Row],[Lineage]]&amp;"-"&amp;Table1[[#This Row],[Lineage]]</f>
        <v>23-23</v>
      </c>
      <c r="B396">
        <v>23</v>
      </c>
      <c r="C396">
        <v>3</v>
      </c>
      <c r="D396">
        <v>1</v>
      </c>
      <c r="E396" t="s">
        <v>33</v>
      </c>
      <c r="F396" t="s">
        <v>5</v>
      </c>
      <c r="G396">
        <v>87773</v>
      </c>
      <c r="H396" t="s">
        <v>34</v>
      </c>
    </row>
    <row r="397" spans="1:8" hidden="1" x14ac:dyDescent="0.25">
      <c r="A397" t="str">
        <f>Table1[[#This Row],[Lineage]]&amp;"-"&amp;Table1[[#This Row],[Lineage]]</f>
        <v>23-23</v>
      </c>
      <c r="B397">
        <v>23</v>
      </c>
      <c r="C397">
        <v>4</v>
      </c>
      <c r="D397">
        <v>1</v>
      </c>
      <c r="E397" t="s">
        <v>33</v>
      </c>
      <c r="F397" t="s">
        <v>5</v>
      </c>
      <c r="G397">
        <v>87759</v>
      </c>
      <c r="H397" t="s">
        <v>34</v>
      </c>
    </row>
    <row r="398" spans="1:8" hidden="1" x14ac:dyDescent="0.25">
      <c r="A398" t="str">
        <f>Table1[[#This Row],[Lineage]]&amp;"-"&amp;Table1[[#This Row],[Lineage]]</f>
        <v>23-23</v>
      </c>
      <c r="B398">
        <v>23</v>
      </c>
      <c r="C398">
        <v>1</v>
      </c>
      <c r="D398">
        <v>2</v>
      </c>
      <c r="E398" t="s">
        <v>33</v>
      </c>
      <c r="F398" t="s">
        <v>5</v>
      </c>
      <c r="G398">
        <v>77052</v>
      </c>
      <c r="H398" t="s">
        <v>34</v>
      </c>
    </row>
    <row r="399" spans="1:8" hidden="1" x14ac:dyDescent="0.25">
      <c r="A399" t="str">
        <f>Table1[[#This Row],[Lineage]]&amp;"-"&amp;Table1[[#This Row],[Lineage]]</f>
        <v>23-23</v>
      </c>
      <c r="B399">
        <v>23</v>
      </c>
      <c r="C399">
        <v>2</v>
      </c>
      <c r="D399">
        <v>2</v>
      </c>
      <c r="E399" t="s">
        <v>33</v>
      </c>
      <c r="F399" t="s">
        <v>5</v>
      </c>
      <c r="G399">
        <v>52157</v>
      </c>
      <c r="H399" t="s">
        <v>34</v>
      </c>
    </row>
    <row r="400" spans="1:8" hidden="1" x14ac:dyDescent="0.25">
      <c r="A400" t="str">
        <f>Table1[[#This Row],[Lineage]]&amp;"-"&amp;Table1[[#This Row],[Lineage]]</f>
        <v>23-23</v>
      </c>
      <c r="B400">
        <v>23</v>
      </c>
      <c r="C400">
        <v>3</v>
      </c>
      <c r="D400">
        <v>2</v>
      </c>
      <c r="E400" t="s">
        <v>33</v>
      </c>
      <c r="F400" t="s">
        <v>5</v>
      </c>
      <c r="G400">
        <v>62740</v>
      </c>
      <c r="H400" t="s">
        <v>34</v>
      </c>
    </row>
    <row r="401" spans="1:8" hidden="1" x14ac:dyDescent="0.25">
      <c r="A401" t="str">
        <f>Table1[[#This Row],[Lineage]]&amp;"-"&amp;Table1[[#This Row],[Lineage]]</f>
        <v>23-23</v>
      </c>
      <c r="B401">
        <v>23</v>
      </c>
      <c r="C401">
        <v>4</v>
      </c>
      <c r="D401">
        <v>2</v>
      </c>
      <c r="E401" t="s">
        <v>33</v>
      </c>
      <c r="F401" t="s">
        <v>5</v>
      </c>
      <c r="G401">
        <v>86253</v>
      </c>
      <c r="H401" t="s">
        <v>34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1F46A-B4DE-4866-9DEA-5DE9A54190A2}">
  <dimension ref="A1:AG196"/>
  <sheetViews>
    <sheetView workbookViewId="0">
      <selection activeCell="K185" sqref="K185"/>
    </sheetView>
  </sheetViews>
  <sheetFormatPr defaultRowHeight="15" x14ac:dyDescent="0.25"/>
  <cols>
    <col min="1" max="1" width="10" customWidth="1"/>
    <col min="3" max="3" width="9.5703125" customWidth="1"/>
    <col min="4" max="4" width="10.140625" customWidth="1"/>
    <col min="7" max="7" width="9.140625" customWidth="1"/>
    <col min="12" max="12" width="23.140625" customWidth="1"/>
  </cols>
  <sheetData>
    <row r="1" spans="1:33" x14ac:dyDescent="0.25">
      <c r="A1" t="s">
        <v>63</v>
      </c>
      <c r="B1" t="s">
        <v>3</v>
      </c>
      <c r="C1" t="s">
        <v>7</v>
      </c>
      <c r="D1" t="s">
        <v>1</v>
      </c>
      <c r="E1" t="s">
        <v>2</v>
      </c>
      <c r="F1" t="s">
        <v>6</v>
      </c>
      <c r="G1" t="s">
        <v>14</v>
      </c>
      <c r="H1" t="s">
        <v>64</v>
      </c>
      <c r="I1" t="s">
        <v>65</v>
      </c>
    </row>
    <row r="2" spans="1:33" x14ac:dyDescent="0.25">
      <c r="A2" t="str">
        <f>Table15[[#This Row],[Lineage]]&amp;"-"&amp;Table15[[#This Row],[Gen]]</f>
        <v>1-1</v>
      </c>
      <c r="B2">
        <v>1</v>
      </c>
      <c r="C2">
        <v>1</v>
      </c>
      <c r="D2" t="s">
        <v>4</v>
      </c>
      <c r="E2" t="s">
        <v>5</v>
      </c>
      <c r="F2">
        <f>SUMIFS(Table1[Survival],Table1[Lineage],"="&amp;Table15[[#This Row],[Lineage]],Table1[Gen],"="&amp;Table15[[#This Row],[Gen]])/COUNTIFS(Table1[Lineage],"="&amp;Table15[[#This Row],[Lineage]],Table1[Gen],"="&amp;Table15[[#This Row],[Gen]])</f>
        <v>89711</v>
      </c>
      <c r="G2" t="s">
        <v>10</v>
      </c>
      <c r="H2">
        <f>IFERROR(VALUE(VLOOKUP(Table15[[#This Row],[ID]],Skills!A:D,4,FALSE)),0)</f>
        <v>0</v>
      </c>
      <c r="I2" t="b">
        <v>1</v>
      </c>
    </row>
    <row r="3" spans="1:33" x14ac:dyDescent="0.25">
      <c r="A3" t="str">
        <f>Table15[[#This Row],[Lineage]]&amp;"-"&amp;Table15[[#This Row],[Gen]]</f>
        <v>1-2</v>
      </c>
      <c r="B3">
        <v>1</v>
      </c>
      <c r="C3">
        <v>2</v>
      </c>
      <c r="D3" t="s">
        <v>4</v>
      </c>
      <c r="E3" t="s">
        <v>5</v>
      </c>
      <c r="F3">
        <f>SUMIFS(Table1[Survival],Table1[Lineage],"="&amp;Table15[[#This Row],[Lineage]],Table1[Gen],"="&amp;Table15[[#This Row],[Gen]])/COUNTIFS(Table1[Lineage],"="&amp;Table15[[#This Row],[Lineage]],Table1[Gen],"="&amp;Table15[[#This Row],[Gen]])</f>
        <v>96240.5</v>
      </c>
      <c r="G3" t="s">
        <v>10</v>
      </c>
      <c r="H3">
        <f>IFERROR(VALUE(VLOOKUP(Table15[[#This Row],[ID]],Skills!A:D,4,FALSE)),0)</f>
        <v>0</v>
      </c>
      <c r="I3" t="b">
        <v>1</v>
      </c>
    </row>
    <row r="4" spans="1:33" x14ac:dyDescent="0.25">
      <c r="A4" t="str">
        <f>Table15[[#This Row],[Lineage]]&amp;"-"&amp;Table15[[#This Row],[Gen]]</f>
        <v>1-3</v>
      </c>
      <c r="B4">
        <v>1</v>
      </c>
      <c r="C4">
        <v>3</v>
      </c>
      <c r="D4" t="s">
        <v>4</v>
      </c>
      <c r="E4" t="s">
        <v>5</v>
      </c>
      <c r="F4">
        <f>SUMIFS(Table1[Survival],Table1[Lineage],"="&amp;Table15[[#This Row],[Lineage]],Table1[Gen],"="&amp;Table15[[#This Row],[Gen]])/COUNTIFS(Table1[Lineage],"="&amp;Table15[[#This Row],[Lineage]],Table1[Gen],"="&amp;Table15[[#This Row],[Gen]])</f>
        <v>101492.5</v>
      </c>
      <c r="G4" t="s">
        <v>10</v>
      </c>
      <c r="H4">
        <f>IFERROR(VALUE(VLOOKUP(Table15[[#This Row],[ID]],Skills!A:D,4,FALSE)),0)</f>
        <v>0</v>
      </c>
      <c r="I4" t="b">
        <v>1</v>
      </c>
      <c r="L4" t="s">
        <v>35</v>
      </c>
      <c r="M4" t="s">
        <v>7</v>
      </c>
      <c r="N4">
        <v>1</v>
      </c>
      <c r="O4">
        <v>2</v>
      </c>
      <c r="P4">
        <v>3</v>
      </c>
      <c r="Q4">
        <v>4</v>
      </c>
      <c r="R4">
        <v>5</v>
      </c>
      <c r="S4">
        <v>6</v>
      </c>
      <c r="T4">
        <v>7</v>
      </c>
      <c r="U4">
        <v>8</v>
      </c>
      <c r="V4">
        <v>9</v>
      </c>
      <c r="W4">
        <v>10</v>
      </c>
      <c r="X4">
        <v>11</v>
      </c>
      <c r="Y4">
        <v>12</v>
      </c>
      <c r="Z4">
        <v>13</v>
      </c>
      <c r="AA4">
        <v>14</v>
      </c>
      <c r="AB4">
        <v>15</v>
      </c>
      <c r="AC4">
        <v>16</v>
      </c>
      <c r="AD4">
        <v>17</v>
      </c>
      <c r="AE4">
        <v>18</v>
      </c>
      <c r="AF4">
        <v>19</v>
      </c>
      <c r="AG4">
        <v>20</v>
      </c>
    </row>
    <row r="5" spans="1:33" x14ac:dyDescent="0.25">
      <c r="A5" t="str">
        <f>Table15[[#This Row],[Lineage]]&amp;"-"&amp;Table15[[#This Row],[Gen]]</f>
        <v>1-4</v>
      </c>
      <c r="B5">
        <v>1</v>
      </c>
      <c r="C5">
        <v>4</v>
      </c>
      <c r="D5" t="s">
        <v>4</v>
      </c>
      <c r="E5" t="s">
        <v>5</v>
      </c>
      <c r="F5">
        <f>SUMIFS(Table1[Survival],Table1[Lineage],"="&amp;Table15[[#This Row],[Lineage]],Table1[Gen],"="&amp;Table15[[#This Row],[Gen]])/COUNTIFS(Table1[Lineage],"="&amp;Table15[[#This Row],[Lineage]],Table1[Gen],"="&amp;Table15[[#This Row],[Gen]])</f>
        <v>107910.5</v>
      </c>
      <c r="G5" t="s">
        <v>10</v>
      </c>
      <c r="H5">
        <f>IFERROR(VALUE(VLOOKUP(Table15[[#This Row],[ID]],Skills!A:D,4,FALSE)),0)</f>
        <v>0</v>
      </c>
      <c r="I5" t="b">
        <v>1</v>
      </c>
      <c r="L5" t="str">
        <f t="shared" ref="L5:L27" si="0">VLOOKUP(M5,B:D,3,FALSE)</f>
        <v>qwen3.5:4b</v>
      </c>
      <c r="M5">
        <v>1</v>
      </c>
      <c r="N5">
        <v>89.710999999999999</v>
      </c>
      <c r="O5">
        <v>96.240499999999997</v>
      </c>
      <c r="P5">
        <v>101.49250000000001</v>
      </c>
      <c r="Q5">
        <v>107.9105</v>
      </c>
      <c r="R5">
        <v>87.985500000000002</v>
      </c>
    </row>
    <row r="6" spans="1:33" x14ac:dyDescent="0.25">
      <c r="A6" t="str">
        <f>Table15[[#This Row],[Lineage]]&amp;"-"&amp;Table15[[#This Row],[Gen]]</f>
        <v>1-5</v>
      </c>
      <c r="B6">
        <v>1</v>
      </c>
      <c r="C6">
        <v>5</v>
      </c>
      <c r="D6" t="s">
        <v>4</v>
      </c>
      <c r="E6" t="s">
        <v>5</v>
      </c>
      <c r="F6">
        <f>SUMIFS(Table1[Survival],Table1[Lineage],"="&amp;Table15[[#This Row],[Lineage]],Table1[Gen],"="&amp;Table15[[#This Row],[Gen]])/COUNTIFS(Table1[Lineage],"="&amp;Table15[[#This Row],[Lineage]],Table1[Gen],"="&amp;Table15[[#This Row],[Gen]])</f>
        <v>87985.5</v>
      </c>
      <c r="G6" t="s">
        <v>10</v>
      </c>
      <c r="H6">
        <f>IFERROR(VALUE(VLOOKUP(Table15[[#This Row],[ID]],Skills!A:D,4,FALSE)),0)</f>
        <v>0</v>
      </c>
      <c r="I6" t="b">
        <v>1</v>
      </c>
      <c r="L6" t="str">
        <f t="shared" si="0"/>
        <v>qwen3.5:9b</v>
      </c>
      <c r="M6">
        <v>2</v>
      </c>
      <c r="N6">
        <v>67.025000000000006</v>
      </c>
      <c r="O6">
        <v>56.280999999999999</v>
      </c>
      <c r="P6">
        <v>68.4345</v>
      </c>
      <c r="Q6">
        <v>67.6875</v>
      </c>
      <c r="R6">
        <v>56.457000000000001</v>
      </c>
    </row>
    <row r="7" spans="1:33" x14ac:dyDescent="0.25">
      <c r="A7" t="str">
        <f>Table15[[#This Row],[Lineage]]&amp;"-"&amp;Table15[[#This Row],[Gen]]</f>
        <v>2-1</v>
      </c>
      <c r="B7">
        <v>2</v>
      </c>
      <c r="C7">
        <v>1</v>
      </c>
      <c r="D7" t="s">
        <v>8</v>
      </c>
      <c r="E7" t="s">
        <v>5</v>
      </c>
      <c r="F7">
        <f>SUMIFS(Table1[Survival],Table1[Lineage],"="&amp;Table15[[#This Row],[Lineage]],Table1[Gen],"="&amp;Table15[[#This Row],[Gen]])/COUNTIFS(Table1[Lineage],"="&amp;Table15[[#This Row],[Lineage]],Table1[Gen],"="&amp;Table15[[#This Row],[Gen]])</f>
        <v>67025</v>
      </c>
      <c r="G7" t="s">
        <v>10</v>
      </c>
      <c r="H7">
        <f>IFERROR(VALUE(VLOOKUP(Table15[[#This Row],[ID]],Skills!A:D,4,FALSE)),0)</f>
        <v>0</v>
      </c>
      <c r="I7" t="b">
        <v>1</v>
      </c>
      <c r="L7" t="str">
        <f t="shared" si="0"/>
        <v>qwen3.5:4b</v>
      </c>
      <c r="M7">
        <v>3</v>
      </c>
      <c r="N7">
        <v>57.430999999999997</v>
      </c>
      <c r="O7">
        <v>52.183999999999997</v>
      </c>
      <c r="P7">
        <v>126.108</v>
      </c>
      <c r="Q7">
        <v>79.369</v>
      </c>
      <c r="R7">
        <v>102.4435</v>
      </c>
    </row>
    <row r="8" spans="1:33" x14ac:dyDescent="0.25">
      <c r="A8" t="str">
        <f>Table15[[#This Row],[Lineage]]&amp;"-"&amp;Table15[[#This Row],[Gen]]</f>
        <v>2-2</v>
      </c>
      <c r="B8">
        <v>2</v>
      </c>
      <c r="C8">
        <v>2</v>
      </c>
      <c r="D8" t="s">
        <v>8</v>
      </c>
      <c r="E8" t="s">
        <v>5</v>
      </c>
      <c r="F8">
        <f>SUMIFS(Table1[Survival],Table1[Lineage],"="&amp;Table15[[#This Row],[Lineage]],Table1[Gen],"="&amp;Table15[[#This Row],[Gen]])/COUNTIFS(Table1[Lineage],"="&amp;Table15[[#This Row],[Lineage]],Table1[Gen],"="&amp;Table15[[#This Row],[Gen]])</f>
        <v>56281</v>
      </c>
      <c r="G8" t="s">
        <v>10</v>
      </c>
      <c r="H8">
        <f>IFERROR(VALUE(VLOOKUP(Table15[[#This Row],[ID]],Skills!A:D,4,FALSE)),0)</f>
        <v>0</v>
      </c>
      <c r="I8" t="b">
        <v>1</v>
      </c>
      <c r="L8" t="str">
        <f t="shared" si="0"/>
        <v>qwen3.5:9b</v>
      </c>
      <c r="M8">
        <v>4</v>
      </c>
      <c r="N8">
        <v>61.046500000000002</v>
      </c>
      <c r="O8">
        <v>104.1935</v>
      </c>
      <c r="P8">
        <v>83.307000000000002</v>
      </c>
      <c r="Q8">
        <v>116.7115</v>
      </c>
      <c r="R8">
        <v>76.426500000000004</v>
      </c>
    </row>
    <row r="9" spans="1:33" x14ac:dyDescent="0.25">
      <c r="A9" t="str">
        <f>Table15[[#This Row],[Lineage]]&amp;"-"&amp;Table15[[#This Row],[Gen]]</f>
        <v>2-3</v>
      </c>
      <c r="B9">
        <v>2</v>
      </c>
      <c r="C9">
        <v>3</v>
      </c>
      <c r="D9" t="s">
        <v>8</v>
      </c>
      <c r="E9" t="s">
        <v>5</v>
      </c>
      <c r="F9">
        <f>SUMIFS(Table1[Survival],Table1[Lineage],"="&amp;Table15[[#This Row],[Lineage]],Table1[Gen],"="&amp;Table15[[#This Row],[Gen]])/COUNTIFS(Table1[Lineage],"="&amp;Table15[[#This Row],[Lineage]],Table1[Gen],"="&amp;Table15[[#This Row],[Gen]])</f>
        <v>68434.5</v>
      </c>
      <c r="G9" t="s">
        <v>10</v>
      </c>
      <c r="H9">
        <f>IFERROR(VALUE(VLOOKUP(Table15[[#This Row],[ID]],Skills!A:D,4,FALSE)),0)</f>
        <v>0</v>
      </c>
      <c r="I9" t="b">
        <v>1</v>
      </c>
      <c r="L9" t="str">
        <f t="shared" si="0"/>
        <v>qwen3.5:4b</v>
      </c>
      <c r="M9">
        <v>5</v>
      </c>
      <c r="N9">
        <v>104.14</v>
      </c>
      <c r="O9">
        <v>78.5535</v>
      </c>
      <c r="P9">
        <v>116.32599999999999</v>
      </c>
      <c r="Q9">
        <v>110.54600000000001</v>
      </c>
      <c r="R9">
        <v>73.58</v>
      </c>
      <c r="S9">
        <v>73.292500000000004</v>
      </c>
      <c r="T9">
        <v>72.772499999999994</v>
      </c>
      <c r="U9">
        <v>72.222499999999997</v>
      </c>
      <c r="V9">
        <v>49.914000000000001</v>
      </c>
      <c r="W9">
        <v>74.210499999999996</v>
      </c>
    </row>
    <row r="10" spans="1:33" x14ac:dyDescent="0.25">
      <c r="A10" t="str">
        <f>Table15[[#This Row],[Lineage]]&amp;"-"&amp;Table15[[#This Row],[Gen]]</f>
        <v>2-4</v>
      </c>
      <c r="B10">
        <v>2</v>
      </c>
      <c r="C10">
        <v>4</v>
      </c>
      <c r="D10" t="s">
        <v>8</v>
      </c>
      <c r="E10" t="s">
        <v>5</v>
      </c>
      <c r="F10">
        <f>SUMIFS(Table1[Survival],Table1[Lineage],"="&amp;Table15[[#This Row],[Lineage]],Table1[Gen],"="&amp;Table15[[#This Row],[Gen]])/COUNTIFS(Table1[Lineage],"="&amp;Table15[[#This Row],[Lineage]],Table1[Gen],"="&amp;Table15[[#This Row],[Gen]])</f>
        <v>67687.5</v>
      </c>
      <c r="G10" t="s">
        <v>10</v>
      </c>
      <c r="H10">
        <f>IFERROR(VALUE(VLOOKUP(Table15[[#This Row],[ID]],Skills!A:D,4,FALSE)),0)</f>
        <v>0</v>
      </c>
      <c r="I10" t="b">
        <v>1</v>
      </c>
      <c r="L10" t="str">
        <f t="shared" si="0"/>
        <v>qwen3.5:9b</v>
      </c>
      <c r="M10">
        <v>6</v>
      </c>
      <c r="N10">
        <v>79.465000000000003</v>
      </c>
      <c r="O10">
        <v>73.288499999999999</v>
      </c>
      <c r="P10">
        <v>56.894500000000001</v>
      </c>
      <c r="Q10">
        <v>71.935000000000002</v>
      </c>
      <c r="R10">
        <v>68.376000000000005</v>
      </c>
      <c r="S10">
        <v>76.427000000000007</v>
      </c>
      <c r="T10">
        <v>79.4285</v>
      </c>
      <c r="U10">
        <v>54.023499999999999</v>
      </c>
      <c r="V10">
        <v>82.768000000000001</v>
      </c>
      <c r="W10">
        <v>83.742999999999995</v>
      </c>
    </row>
    <row r="11" spans="1:33" x14ac:dyDescent="0.25">
      <c r="A11" t="str">
        <f>Table15[[#This Row],[Lineage]]&amp;"-"&amp;Table15[[#This Row],[Gen]]</f>
        <v>2-5</v>
      </c>
      <c r="B11">
        <v>2</v>
      </c>
      <c r="C11">
        <v>5</v>
      </c>
      <c r="D11" t="s">
        <v>8</v>
      </c>
      <c r="E11" t="s">
        <v>5</v>
      </c>
      <c r="F11">
        <f>SUMIFS(Table1[Survival],Table1[Lineage],"="&amp;Table15[[#This Row],[Lineage]],Table1[Gen],"="&amp;Table15[[#This Row],[Gen]])/COUNTIFS(Table1[Lineage],"="&amp;Table15[[#This Row],[Lineage]],Table1[Gen],"="&amp;Table15[[#This Row],[Gen]])</f>
        <v>56457</v>
      </c>
      <c r="G11" t="s">
        <v>10</v>
      </c>
      <c r="H11">
        <f>IFERROR(VALUE(VLOOKUP(Table15[[#This Row],[ID]],Skills!A:D,4,FALSE)),0)</f>
        <v>0</v>
      </c>
      <c r="I11" t="b">
        <v>1</v>
      </c>
      <c r="L11" t="str">
        <f t="shared" si="0"/>
        <v>qwen3.5:9b</v>
      </c>
      <c r="M11">
        <v>7</v>
      </c>
      <c r="N11">
        <v>83.448333333333323</v>
      </c>
      <c r="O11">
        <v>62.239333333333335</v>
      </c>
      <c r="P11">
        <v>72.117000000000004</v>
      </c>
      <c r="Q11">
        <v>84.421666666666667</v>
      </c>
      <c r="R11">
        <v>70.463666666666668</v>
      </c>
    </row>
    <row r="12" spans="1:33" x14ac:dyDescent="0.25">
      <c r="A12" t="str">
        <f>Table15[[#This Row],[Lineage]]&amp;"-"&amp;Table15[[#This Row],[Gen]]</f>
        <v>3-1</v>
      </c>
      <c r="B12">
        <v>3</v>
      </c>
      <c r="C12">
        <v>1</v>
      </c>
      <c r="D12" t="s">
        <v>4</v>
      </c>
      <c r="E12" t="s">
        <v>5</v>
      </c>
      <c r="F12">
        <f>SUMIFS(Table1[Survival],Table1[Lineage],"="&amp;Table15[[#This Row],[Lineage]],Table1[Gen],"="&amp;Table15[[#This Row],[Gen]])/COUNTIFS(Table1[Lineage],"="&amp;Table15[[#This Row],[Lineage]],Table1[Gen],"="&amp;Table15[[#This Row],[Gen]])</f>
        <v>57431</v>
      </c>
      <c r="G12" t="s">
        <v>10</v>
      </c>
      <c r="H12">
        <f>IFERROR(VALUE(VLOOKUP(Table15[[#This Row],[ID]],Skills!A:D,4,FALSE)),0)</f>
        <v>0</v>
      </c>
      <c r="I12" t="b">
        <v>1</v>
      </c>
      <c r="L12" t="str">
        <f t="shared" si="0"/>
        <v>qwen3.5:9b</v>
      </c>
      <c r="M12">
        <v>8</v>
      </c>
      <c r="N12">
        <v>70.073666666666668</v>
      </c>
      <c r="O12">
        <v>69.770666666666671</v>
      </c>
      <c r="P12">
        <v>79.834999999999994</v>
      </c>
      <c r="Q12">
        <v>84.599333333333334</v>
      </c>
      <c r="R12">
        <v>74.357666666666674</v>
      </c>
    </row>
    <row r="13" spans="1:33" x14ac:dyDescent="0.25">
      <c r="A13" t="str">
        <f>Table15[[#This Row],[Lineage]]&amp;"-"&amp;Table15[[#This Row],[Gen]]</f>
        <v>3-2</v>
      </c>
      <c r="B13">
        <v>3</v>
      </c>
      <c r="C13">
        <v>2</v>
      </c>
      <c r="D13" t="s">
        <v>4</v>
      </c>
      <c r="E13" t="s">
        <v>5</v>
      </c>
      <c r="F13">
        <f>SUMIFS(Table1[Survival],Table1[Lineage],"="&amp;Table15[[#This Row],[Lineage]],Table1[Gen],"="&amp;Table15[[#This Row],[Gen]])/COUNTIFS(Table1[Lineage],"="&amp;Table15[[#This Row],[Lineage]],Table1[Gen],"="&amp;Table15[[#This Row],[Gen]])</f>
        <v>52184</v>
      </c>
      <c r="G13" t="s">
        <v>10</v>
      </c>
      <c r="H13">
        <f>IFERROR(VALUE(VLOOKUP(Table15[[#This Row],[ID]],Skills!A:D,4,FALSE)),0)</f>
        <v>0</v>
      </c>
      <c r="I13" t="b">
        <v>1</v>
      </c>
      <c r="L13" t="str">
        <f t="shared" si="0"/>
        <v>qwen3.5:9b</v>
      </c>
      <c r="M13">
        <v>9</v>
      </c>
      <c r="N13">
        <v>78.373000000000005</v>
      </c>
      <c r="O13">
        <v>72.188000000000002</v>
      </c>
      <c r="P13">
        <v>54.607500000000002</v>
      </c>
      <c r="Q13">
        <v>52.419499999999999</v>
      </c>
      <c r="R13">
        <v>45.836500000000001</v>
      </c>
      <c r="S13">
        <v>52.969499999999996</v>
      </c>
      <c r="T13">
        <v>50.595500000000001</v>
      </c>
      <c r="U13">
        <v>51.858499999999999</v>
      </c>
      <c r="V13">
        <v>54.586500000000001</v>
      </c>
      <c r="W13">
        <v>66.89</v>
      </c>
      <c r="X13">
        <v>49.914999999999999</v>
      </c>
      <c r="Y13">
        <v>72.677499999999995</v>
      </c>
      <c r="Z13">
        <v>48.756500000000003</v>
      </c>
      <c r="AA13">
        <v>54.339500000000001</v>
      </c>
      <c r="AB13">
        <v>70.489999999999995</v>
      </c>
      <c r="AC13">
        <v>51.000999999999998</v>
      </c>
      <c r="AD13">
        <v>72.5715</v>
      </c>
      <c r="AE13">
        <v>70.956500000000005</v>
      </c>
      <c r="AF13">
        <v>49.500999999999998</v>
      </c>
      <c r="AG13">
        <v>71.867999999999995</v>
      </c>
    </row>
    <row r="14" spans="1:33" x14ac:dyDescent="0.25">
      <c r="A14" t="str">
        <f>Table15[[#This Row],[Lineage]]&amp;"-"&amp;Table15[[#This Row],[Gen]]</f>
        <v>3-3</v>
      </c>
      <c r="B14">
        <v>3</v>
      </c>
      <c r="C14">
        <v>3</v>
      </c>
      <c r="D14" t="s">
        <v>4</v>
      </c>
      <c r="E14" t="s">
        <v>5</v>
      </c>
      <c r="F14">
        <f>SUMIFS(Table1[Survival],Table1[Lineage],"="&amp;Table15[[#This Row],[Lineage]],Table1[Gen],"="&amp;Table15[[#This Row],[Gen]])/COUNTIFS(Table1[Lineage],"="&amp;Table15[[#This Row],[Lineage]],Table1[Gen],"="&amp;Table15[[#This Row],[Gen]])</f>
        <v>126108</v>
      </c>
      <c r="G14" t="s">
        <v>10</v>
      </c>
      <c r="H14">
        <f>IFERROR(VALUE(VLOOKUP(Table15[[#This Row],[ID]],Skills!A:D,4,FALSE)),0)</f>
        <v>1</v>
      </c>
      <c r="I14" t="b">
        <v>1</v>
      </c>
      <c r="L14" t="str">
        <f t="shared" si="0"/>
        <v>qwen3.5:9b</v>
      </c>
      <c r="M14">
        <v>10</v>
      </c>
      <c r="N14">
        <v>69.477999999999994</v>
      </c>
      <c r="O14">
        <v>133.75149999999999</v>
      </c>
      <c r="P14">
        <v>89.573499999999996</v>
      </c>
      <c r="Q14">
        <v>119.1575</v>
      </c>
      <c r="R14">
        <v>122.113</v>
      </c>
      <c r="S14">
        <v>133.059</v>
      </c>
      <c r="T14">
        <v>83.44</v>
      </c>
      <c r="U14">
        <v>91.129000000000005</v>
      </c>
      <c r="V14">
        <v>74.9345</v>
      </c>
      <c r="W14">
        <v>91.602500000000006</v>
      </c>
      <c r="X14">
        <v>115.74850000000001</v>
      </c>
      <c r="Y14">
        <v>107.4375</v>
      </c>
      <c r="Z14">
        <v>93.358999999999995</v>
      </c>
      <c r="AA14">
        <v>85.480999999999995</v>
      </c>
      <c r="AB14">
        <v>79.633499999999998</v>
      </c>
      <c r="AC14">
        <v>85.715000000000003</v>
      </c>
      <c r="AD14">
        <v>82.707499999999996</v>
      </c>
      <c r="AE14">
        <v>96.893500000000003</v>
      </c>
      <c r="AF14">
        <v>74.881</v>
      </c>
      <c r="AG14">
        <v>69.055499999999995</v>
      </c>
    </row>
    <row r="15" spans="1:33" x14ac:dyDescent="0.25">
      <c r="A15" t="str">
        <f>Table15[[#This Row],[Lineage]]&amp;"-"&amp;Table15[[#This Row],[Gen]]</f>
        <v>3-4</v>
      </c>
      <c r="B15">
        <v>3</v>
      </c>
      <c r="C15">
        <v>4</v>
      </c>
      <c r="D15" t="s">
        <v>4</v>
      </c>
      <c r="E15" t="s">
        <v>5</v>
      </c>
      <c r="F15">
        <f>SUMIFS(Table1[Survival],Table1[Lineage],"="&amp;Table15[[#This Row],[Lineage]],Table1[Gen],"="&amp;Table15[[#This Row],[Gen]])/COUNTIFS(Table1[Lineage],"="&amp;Table15[[#This Row],[Lineage]],Table1[Gen],"="&amp;Table15[[#This Row],[Gen]])</f>
        <v>79369</v>
      </c>
      <c r="G15" t="s">
        <v>10</v>
      </c>
      <c r="H15">
        <f>IFERROR(VALUE(VLOOKUP(Table15[[#This Row],[ID]],Skills!A:D,4,FALSE)),0)</f>
        <v>0</v>
      </c>
      <c r="I15" t="b">
        <v>1</v>
      </c>
      <c r="L15" t="str">
        <f t="shared" si="0"/>
        <v>qwen3.5:4b</v>
      </c>
      <c r="M15">
        <v>11</v>
      </c>
      <c r="N15">
        <v>110.13800000000001</v>
      </c>
      <c r="O15">
        <v>62.4495</v>
      </c>
      <c r="P15">
        <v>76.096500000000006</v>
      </c>
      <c r="Q15">
        <v>104.081</v>
      </c>
      <c r="R15">
        <v>53.211500000000001</v>
      </c>
    </row>
    <row r="16" spans="1:33" x14ac:dyDescent="0.25">
      <c r="A16" t="str">
        <f>Table15[[#This Row],[Lineage]]&amp;"-"&amp;Table15[[#This Row],[Gen]]</f>
        <v>3-5</v>
      </c>
      <c r="B16">
        <v>3</v>
      </c>
      <c r="C16">
        <v>5</v>
      </c>
      <c r="D16" t="s">
        <v>4</v>
      </c>
      <c r="E16" t="s">
        <v>5</v>
      </c>
      <c r="F16">
        <f>SUMIFS(Table1[Survival],Table1[Lineage],"="&amp;Table15[[#This Row],[Lineage]],Table1[Gen],"="&amp;Table15[[#This Row],[Gen]])/COUNTIFS(Table1[Lineage],"="&amp;Table15[[#This Row],[Lineage]],Table1[Gen],"="&amp;Table15[[#This Row],[Gen]])</f>
        <v>102443.5</v>
      </c>
      <c r="G16" t="s">
        <v>10</v>
      </c>
      <c r="H16">
        <f>IFERROR(VALUE(VLOOKUP(Table15[[#This Row],[ID]],Skills!A:D,4,FALSE)),0)</f>
        <v>0</v>
      </c>
      <c r="I16" t="b">
        <v>1</v>
      </c>
      <c r="L16" t="str">
        <f t="shared" si="0"/>
        <v>qwen3.5:9b</v>
      </c>
      <c r="M16">
        <v>12</v>
      </c>
      <c r="N16">
        <v>115.57</v>
      </c>
      <c r="O16">
        <v>86.8</v>
      </c>
      <c r="P16">
        <v>43.249499999999998</v>
      </c>
      <c r="Q16">
        <v>60.024999999999999</v>
      </c>
      <c r="R16">
        <v>71.244</v>
      </c>
    </row>
    <row r="17" spans="1:33" x14ac:dyDescent="0.25">
      <c r="A17" t="str">
        <f>Table15[[#This Row],[Lineage]]&amp;"-"&amp;Table15[[#This Row],[Gen]]</f>
        <v>4-1</v>
      </c>
      <c r="B17">
        <v>4</v>
      </c>
      <c r="C17">
        <v>1</v>
      </c>
      <c r="D17" t="s">
        <v>8</v>
      </c>
      <c r="E17" t="s">
        <v>5</v>
      </c>
      <c r="F17">
        <f>SUMIFS(Table1[Survival],Table1[Lineage],"="&amp;Table15[[#This Row],[Lineage]],Table1[Gen],"="&amp;Table15[[#This Row],[Gen]])/COUNTIFS(Table1[Lineage],"="&amp;Table15[[#This Row],[Lineage]],Table1[Gen],"="&amp;Table15[[#This Row],[Gen]])</f>
        <v>61046.5</v>
      </c>
      <c r="G17" t="s">
        <v>10</v>
      </c>
      <c r="H17">
        <f>IFERROR(VALUE(VLOOKUP(Table15[[#This Row],[ID]],Skills!A:D,4,FALSE)),0)</f>
        <v>0</v>
      </c>
      <c r="I17" t="b">
        <v>1</v>
      </c>
      <c r="L17" t="str">
        <f t="shared" si="0"/>
        <v>qwen3.5:9b</v>
      </c>
      <c r="M17">
        <v>13</v>
      </c>
      <c r="N17">
        <v>46.226999999999997</v>
      </c>
      <c r="O17">
        <v>50.621000000000002</v>
      </c>
      <c r="P17">
        <v>43.706000000000003</v>
      </c>
      <c r="Q17">
        <v>2.0979999999999999</v>
      </c>
      <c r="R17">
        <v>2.1120000000000001</v>
      </c>
    </row>
    <row r="18" spans="1:33" x14ac:dyDescent="0.25">
      <c r="A18" t="str">
        <f>Table15[[#This Row],[Lineage]]&amp;"-"&amp;Table15[[#This Row],[Gen]]</f>
        <v>4-2</v>
      </c>
      <c r="B18">
        <v>4</v>
      </c>
      <c r="C18">
        <v>2</v>
      </c>
      <c r="D18" t="s">
        <v>8</v>
      </c>
      <c r="E18" t="s">
        <v>5</v>
      </c>
      <c r="F18">
        <f>SUMIFS(Table1[Survival],Table1[Lineage],"="&amp;Table15[[#This Row],[Lineage]],Table1[Gen],"="&amp;Table15[[#This Row],[Gen]])/COUNTIFS(Table1[Lineage],"="&amp;Table15[[#This Row],[Lineage]],Table1[Gen],"="&amp;Table15[[#This Row],[Gen]])</f>
        <v>104193.5</v>
      </c>
      <c r="G18" t="s">
        <v>10</v>
      </c>
      <c r="H18">
        <f>IFERROR(VALUE(VLOOKUP(Table15[[#This Row],[ID]],Skills!A:D,4,FALSE)),0)</f>
        <v>1</v>
      </c>
      <c r="I18" t="b">
        <v>1</v>
      </c>
      <c r="L18" t="str">
        <f t="shared" si="0"/>
        <v>qwen3.5:4b</v>
      </c>
      <c r="M18">
        <v>14</v>
      </c>
      <c r="N18">
        <v>85.703000000000003</v>
      </c>
      <c r="O18">
        <v>49.5685</v>
      </c>
      <c r="P18">
        <v>52.825000000000003</v>
      </c>
      <c r="Q18">
        <v>57.358499999999999</v>
      </c>
      <c r="R18">
        <v>56.951000000000001</v>
      </c>
      <c r="S18">
        <v>48.637500000000003</v>
      </c>
      <c r="T18">
        <v>56.513500000000001</v>
      </c>
      <c r="U18">
        <v>53.744</v>
      </c>
      <c r="V18">
        <v>68.363500000000002</v>
      </c>
      <c r="W18">
        <v>68.741500000000002</v>
      </c>
      <c r="X18">
        <v>71.373000000000005</v>
      </c>
      <c r="Y18">
        <v>53.454500000000003</v>
      </c>
      <c r="Z18">
        <v>57.222499999999997</v>
      </c>
      <c r="AA18">
        <v>50.170999999999999</v>
      </c>
      <c r="AB18">
        <v>57.176000000000002</v>
      </c>
      <c r="AC18">
        <v>56.173499999999997</v>
      </c>
      <c r="AD18">
        <v>55.893000000000001</v>
      </c>
      <c r="AE18">
        <v>59.844999999999999</v>
      </c>
      <c r="AF18">
        <v>55.307000000000002</v>
      </c>
      <c r="AG18">
        <v>70.123000000000005</v>
      </c>
    </row>
    <row r="19" spans="1:33" x14ac:dyDescent="0.25">
      <c r="A19" t="str">
        <f>Table15[[#This Row],[Lineage]]&amp;"-"&amp;Table15[[#This Row],[Gen]]</f>
        <v>4-3</v>
      </c>
      <c r="B19">
        <v>4</v>
      </c>
      <c r="C19">
        <v>3</v>
      </c>
      <c r="D19" t="s">
        <v>8</v>
      </c>
      <c r="E19" t="s">
        <v>5</v>
      </c>
      <c r="F19">
        <f>SUMIFS(Table1[Survival],Table1[Lineage],"="&amp;Table15[[#This Row],[Lineage]],Table1[Gen],"="&amp;Table15[[#This Row],[Gen]])/COUNTIFS(Table1[Lineage],"="&amp;Table15[[#This Row],[Lineage]],Table1[Gen],"="&amp;Table15[[#This Row],[Gen]])</f>
        <v>83307</v>
      </c>
      <c r="G19" t="s">
        <v>10</v>
      </c>
      <c r="H19">
        <f>IFERROR(VALUE(VLOOKUP(Table15[[#This Row],[ID]],Skills!A:D,4,FALSE)),0)</f>
        <v>0</v>
      </c>
      <c r="I19" t="b">
        <v>1</v>
      </c>
      <c r="L19" t="str">
        <f t="shared" si="0"/>
        <v>qwen3.5:4b</v>
      </c>
      <c r="M19">
        <v>15</v>
      </c>
      <c r="N19">
        <v>129.5265</v>
      </c>
      <c r="O19">
        <v>129.41399999999999</v>
      </c>
      <c r="P19">
        <v>103.476</v>
      </c>
      <c r="Q19">
        <v>103.4105</v>
      </c>
      <c r="R19">
        <v>65.099500000000006</v>
      </c>
      <c r="S19">
        <v>89.490499999999997</v>
      </c>
      <c r="T19">
        <v>77.120500000000007</v>
      </c>
      <c r="U19">
        <v>129.48349999999999</v>
      </c>
      <c r="V19">
        <v>102.6645</v>
      </c>
      <c r="W19">
        <v>98.215000000000003</v>
      </c>
      <c r="X19">
        <v>82.7</v>
      </c>
      <c r="Y19">
        <v>99.596500000000006</v>
      </c>
      <c r="Z19">
        <v>79.020499999999998</v>
      </c>
      <c r="AA19">
        <v>103.375</v>
      </c>
    </row>
    <row r="20" spans="1:33" x14ac:dyDescent="0.25">
      <c r="A20" t="str">
        <f>Table15[[#This Row],[Lineage]]&amp;"-"&amp;Table15[[#This Row],[Gen]]</f>
        <v>4-4</v>
      </c>
      <c r="B20">
        <v>4</v>
      </c>
      <c r="C20">
        <v>4</v>
      </c>
      <c r="D20" t="s">
        <v>8</v>
      </c>
      <c r="E20" t="s">
        <v>5</v>
      </c>
      <c r="F20">
        <f>SUMIFS(Table1[Survival],Table1[Lineage],"="&amp;Table15[[#This Row],[Lineage]],Table1[Gen],"="&amp;Table15[[#This Row],[Gen]])/COUNTIFS(Table1[Lineage],"="&amp;Table15[[#This Row],[Lineage]],Table1[Gen],"="&amp;Table15[[#This Row],[Gen]])</f>
        <v>116711.5</v>
      </c>
      <c r="G20" t="s">
        <v>10</v>
      </c>
      <c r="H20">
        <f>IFERROR(VALUE(VLOOKUP(Table15[[#This Row],[ID]],Skills!A:D,4,FALSE)),0)</f>
        <v>0</v>
      </c>
      <c r="I20" t="b">
        <v>1</v>
      </c>
      <c r="L20" t="str">
        <f t="shared" si="0"/>
        <v>x-ai/grok-4.1-fast</v>
      </c>
      <c r="M20">
        <v>16</v>
      </c>
      <c r="N20">
        <v>131.05500000000001</v>
      </c>
      <c r="O20">
        <v>128.001</v>
      </c>
      <c r="P20">
        <v>126.3965</v>
      </c>
      <c r="Q20">
        <v>130.64449999999999</v>
      </c>
      <c r="R20">
        <v>130.99549999999999</v>
      </c>
    </row>
    <row r="21" spans="1:33" x14ac:dyDescent="0.25">
      <c r="A21" t="str">
        <f>Table15[[#This Row],[Lineage]]&amp;"-"&amp;Table15[[#This Row],[Gen]]</f>
        <v>4-5</v>
      </c>
      <c r="B21">
        <v>4</v>
      </c>
      <c r="C21">
        <v>5</v>
      </c>
      <c r="D21" t="s">
        <v>8</v>
      </c>
      <c r="E21" t="s">
        <v>5</v>
      </c>
      <c r="F21">
        <f>SUMIFS(Table1[Survival],Table1[Lineage],"="&amp;Table15[[#This Row],[Lineage]],Table1[Gen],"="&amp;Table15[[#This Row],[Gen]])/COUNTIFS(Table1[Lineage],"="&amp;Table15[[#This Row],[Lineage]],Table1[Gen],"="&amp;Table15[[#This Row],[Gen]])</f>
        <v>76426.5</v>
      </c>
      <c r="G21" t="s">
        <v>10</v>
      </c>
      <c r="H21">
        <f>IFERROR(VALUE(VLOOKUP(Table15[[#This Row],[ID]],Skills!A:D,4,FALSE)),0)</f>
        <v>0</v>
      </c>
      <c r="I21" t="b">
        <v>1</v>
      </c>
      <c r="L21" t="str">
        <f t="shared" si="0"/>
        <v>qwen3.5:4b</v>
      </c>
      <c r="M21">
        <v>17</v>
      </c>
      <c r="N21">
        <v>125.929</v>
      </c>
      <c r="O21">
        <v>73.518500000000003</v>
      </c>
      <c r="P21">
        <v>87.246499999999997</v>
      </c>
      <c r="Q21">
        <v>69.202500000000001</v>
      </c>
      <c r="R21">
        <v>85.569500000000005</v>
      </c>
      <c r="S21">
        <v>79.155500000000004</v>
      </c>
      <c r="T21">
        <v>85.058999999999997</v>
      </c>
      <c r="U21">
        <v>70.31</v>
      </c>
      <c r="V21">
        <v>68.820499999999996</v>
      </c>
      <c r="W21">
        <v>74.923500000000004</v>
      </c>
      <c r="X21">
        <v>97.703999999999994</v>
      </c>
      <c r="Y21">
        <v>93.81</v>
      </c>
      <c r="Z21">
        <v>74.969499999999996</v>
      </c>
      <c r="AA21">
        <v>77.105999999999995</v>
      </c>
      <c r="AB21">
        <v>130.17099999999999</v>
      </c>
      <c r="AC21">
        <v>87.314499999999995</v>
      </c>
      <c r="AD21">
        <v>99.206999999999994</v>
      </c>
      <c r="AE21">
        <v>100.52800000000001</v>
      </c>
      <c r="AF21">
        <v>100.9975</v>
      </c>
      <c r="AG21">
        <v>88.398499999999999</v>
      </c>
    </row>
    <row r="22" spans="1:33" x14ac:dyDescent="0.25">
      <c r="A22" t="str">
        <f>Table15[[#This Row],[Lineage]]&amp;"-"&amp;Table15[[#This Row],[Gen]]</f>
        <v>5-1</v>
      </c>
      <c r="B22">
        <v>5</v>
      </c>
      <c r="C22">
        <v>1</v>
      </c>
      <c r="D22" t="s">
        <v>4</v>
      </c>
      <c r="E22" t="s">
        <v>5</v>
      </c>
      <c r="F22">
        <f>SUMIFS(Table1[Survival],Table1[Lineage],"="&amp;Table15[[#This Row],[Lineage]],Table1[Gen],"="&amp;Table15[[#This Row],[Gen]])/COUNTIFS(Table1[Lineage],"="&amp;Table15[[#This Row],[Lineage]],Table1[Gen],"="&amp;Table15[[#This Row],[Gen]])</f>
        <v>104140</v>
      </c>
      <c r="G22" t="s">
        <v>10</v>
      </c>
      <c r="H22">
        <f>IFERROR(VALUE(VLOOKUP(Table15[[#This Row],[ID]],Skills!A:D,4,FALSE)),0)</f>
        <v>0</v>
      </c>
      <c r="I22" t="b">
        <v>1</v>
      </c>
      <c r="L22" t="str">
        <f t="shared" si="0"/>
        <v>moonshotai/kimi-k2.6</v>
      </c>
      <c r="M22">
        <v>18</v>
      </c>
      <c r="N22">
        <v>111.965</v>
      </c>
      <c r="O22">
        <v>102.167</v>
      </c>
      <c r="P22">
        <v>109.64400000000001</v>
      </c>
      <c r="Q22">
        <v>145.173</v>
      </c>
      <c r="R22">
        <v>116.14700000000001</v>
      </c>
    </row>
    <row r="23" spans="1:33" x14ac:dyDescent="0.25">
      <c r="A23" t="str">
        <f>Table15[[#This Row],[Lineage]]&amp;"-"&amp;Table15[[#This Row],[Gen]]</f>
        <v>5-2</v>
      </c>
      <c r="B23">
        <v>5</v>
      </c>
      <c r="C23">
        <v>2</v>
      </c>
      <c r="D23" t="s">
        <v>4</v>
      </c>
      <c r="E23" t="s">
        <v>5</v>
      </c>
      <c r="F23">
        <f>SUMIFS(Table1[Survival],Table1[Lineage],"="&amp;Table15[[#This Row],[Lineage]],Table1[Gen],"="&amp;Table15[[#This Row],[Gen]])/COUNTIFS(Table1[Lineage],"="&amp;Table15[[#This Row],[Lineage]],Table1[Gen],"="&amp;Table15[[#This Row],[Gen]])</f>
        <v>78553.5</v>
      </c>
      <c r="G23" t="s">
        <v>10</v>
      </c>
      <c r="H23">
        <f>IFERROR(VALUE(VLOOKUP(Table15[[#This Row],[ID]],Skills!A:D,4,FALSE)),0)</f>
        <v>0</v>
      </c>
      <c r="I23" t="b">
        <v>1</v>
      </c>
      <c r="L23" t="str">
        <f t="shared" si="0"/>
        <v>qwen3.5:9b</v>
      </c>
      <c r="M23">
        <v>19</v>
      </c>
      <c r="N23">
        <v>104.152</v>
      </c>
      <c r="O23">
        <v>100.1485</v>
      </c>
      <c r="P23">
        <v>129.48249999999999</v>
      </c>
      <c r="Q23">
        <v>91.960999999999999</v>
      </c>
      <c r="R23">
        <v>85.230999999999995</v>
      </c>
    </row>
    <row r="24" spans="1:33" x14ac:dyDescent="0.25">
      <c r="A24" t="str">
        <f>Table15[[#This Row],[Lineage]]&amp;"-"&amp;Table15[[#This Row],[Gen]]</f>
        <v>5-3</v>
      </c>
      <c r="B24">
        <v>5</v>
      </c>
      <c r="C24">
        <v>3</v>
      </c>
      <c r="D24" t="s">
        <v>4</v>
      </c>
      <c r="E24" t="s">
        <v>5</v>
      </c>
      <c r="F24">
        <f>SUMIFS(Table1[Survival],Table1[Lineage],"="&amp;Table15[[#This Row],[Lineage]],Table1[Gen],"="&amp;Table15[[#This Row],[Gen]])/COUNTIFS(Table1[Lineage],"="&amp;Table15[[#This Row],[Lineage]],Table1[Gen],"="&amp;Table15[[#This Row],[Gen]])</f>
        <v>116326</v>
      </c>
      <c r="G24" t="s">
        <v>10</v>
      </c>
      <c r="H24">
        <f>IFERROR(VALUE(VLOOKUP(Table15[[#This Row],[ID]],Skills!A:D,4,FALSE)),0)</f>
        <v>0</v>
      </c>
      <c r="I24" t="b">
        <v>1</v>
      </c>
      <c r="L24" t="str">
        <f t="shared" si="0"/>
        <v>qwen3.5:9b</v>
      </c>
      <c r="M24">
        <v>20</v>
      </c>
      <c r="N24">
        <v>58.8035</v>
      </c>
      <c r="O24">
        <v>76.724999999999994</v>
      </c>
      <c r="P24">
        <v>72.086500000000001</v>
      </c>
      <c r="Q24">
        <v>66.750500000000002</v>
      </c>
      <c r="R24">
        <v>56.524500000000003</v>
      </c>
    </row>
    <row r="25" spans="1:33" x14ac:dyDescent="0.25">
      <c r="A25" t="str">
        <f>Table15[[#This Row],[Lineage]]&amp;"-"&amp;Table15[[#This Row],[Gen]]</f>
        <v>5-4</v>
      </c>
      <c r="B25">
        <v>5</v>
      </c>
      <c r="C25">
        <v>4</v>
      </c>
      <c r="D25" t="s">
        <v>4</v>
      </c>
      <c r="E25" t="s">
        <v>5</v>
      </c>
      <c r="F25">
        <f>SUMIFS(Table1[Survival],Table1[Lineage],"="&amp;Table15[[#This Row],[Lineage]],Table1[Gen],"="&amp;Table15[[#This Row],[Gen]])/COUNTIFS(Table1[Lineage],"="&amp;Table15[[#This Row],[Lineage]],Table1[Gen],"="&amp;Table15[[#This Row],[Gen]])</f>
        <v>110546</v>
      </c>
      <c r="G25" t="s">
        <v>10</v>
      </c>
      <c r="H25">
        <f>IFERROR(VALUE(VLOOKUP(Table15[[#This Row],[ID]],Skills!A:D,4,FALSE)),0)</f>
        <v>0</v>
      </c>
      <c r="I25" t="b">
        <v>1</v>
      </c>
      <c r="L25" t="str">
        <f t="shared" si="0"/>
        <v>qwen3.5:9b</v>
      </c>
      <c r="M25">
        <v>21</v>
      </c>
      <c r="N25">
        <v>53.6175</v>
      </c>
      <c r="O25">
        <v>50.859000000000002</v>
      </c>
      <c r="P25">
        <v>126.152</v>
      </c>
      <c r="Q25">
        <v>90.358500000000006</v>
      </c>
      <c r="R25">
        <v>70.135999999999996</v>
      </c>
    </row>
    <row r="26" spans="1:33" x14ac:dyDescent="0.25">
      <c r="A26" t="str">
        <f>Table15[[#This Row],[Lineage]]&amp;"-"&amp;Table15[[#This Row],[Gen]]</f>
        <v>5-5</v>
      </c>
      <c r="B26">
        <v>5</v>
      </c>
      <c r="C26">
        <v>5</v>
      </c>
      <c r="D26" t="s">
        <v>4</v>
      </c>
      <c r="E26" t="s">
        <v>5</v>
      </c>
      <c r="F26">
        <f>SUMIFS(Table1[Survival],Table1[Lineage],"="&amp;Table15[[#This Row],[Lineage]],Table1[Gen],"="&amp;Table15[[#This Row],[Gen]])/COUNTIFS(Table1[Lineage],"="&amp;Table15[[#This Row],[Lineage]],Table1[Gen],"="&amp;Table15[[#This Row],[Gen]])</f>
        <v>73580</v>
      </c>
      <c r="G26" t="s">
        <v>10</v>
      </c>
      <c r="H26">
        <f>IFERROR(VALUE(VLOOKUP(Table15[[#This Row],[ID]],Skills!A:D,4,FALSE)),0)</f>
        <v>0</v>
      </c>
      <c r="I26" t="b">
        <v>1</v>
      </c>
      <c r="L26" t="str">
        <f t="shared" si="0"/>
        <v>qwen3.5:9b</v>
      </c>
      <c r="M26">
        <v>22</v>
      </c>
      <c r="N26">
        <v>50.017499999999998</v>
      </c>
      <c r="O26">
        <v>85.247</v>
      </c>
      <c r="P26">
        <v>99.953999999999994</v>
      </c>
      <c r="Q26">
        <v>46.555999999999997</v>
      </c>
      <c r="R26">
        <v>86.936000000000007</v>
      </c>
      <c r="S26">
        <v>80.388000000000005</v>
      </c>
      <c r="T26">
        <v>213.82400000000001</v>
      </c>
      <c r="U26">
        <v>55.179000000000002</v>
      </c>
      <c r="V26">
        <v>85.3095</v>
      </c>
    </row>
    <row r="27" spans="1:33" x14ac:dyDescent="0.25">
      <c r="A27" t="str">
        <f>Table15[[#This Row],[Lineage]]&amp;"-"&amp;Table15[[#This Row],[Gen]]</f>
        <v>5-6</v>
      </c>
      <c r="B27">
        <v>5</v>
      </c>
      <c r="C27">
        <v>6</v>
      </c>
      <c r="D27" t="s">
        <v>4</v>
      </c>
      <c r="E27" t="s">
        <v>5</v>
      </c>
      <c r="F27">
        <f>SUMIFS(Table1[Survival],Table1[Lineage],"="&amp;Table15[[#This Row],[Lineage]],Table1[Gen],"="&amp;Table15[[#This Row],[Gen]])/COUNTIFS(Table1[Lineage],"="&amp;Table15[[#This Row],[Lineage]],Table1[Gen],"="&amp;Table15[[#This Row],[Gen]])</f>
        <v>73292.5</v>
      </c>
      <c r="G27" t="s">
        <v>10</v>
      </c>
      <c r="H27">
        <f>IFERROR(VALUE(VLOOKUP(Table15[[#This Row],[ID]],Skills!A:D,4,FALSE)),0)</f>
        <v>2</v>
      </c>
      <c r="I27" t="b">
        <v>1</v>
      </c>
      <c r="L27" t="str">
        <f t="shared" si="0"/>
        <v>openai/gpt-5.5</v>
      </c>
      <c r="M27">
        <v>23</v>
      </c>
      <c r="N27">
        <v>81.227000000000004</v>
      </c>
      <c r="O27">
        <v>64.142499999999998</v>
      </c>
      <c r="P27">
        <v>75.256500000000003</v>
      </c>
      <c r="Q27">
        <v>87.006</v>
      </c>
    </row>
    <row r="28" spans="1:33" x14ac:dyDescent="0.25">
      <c r="A28" t="str">
        <f>Table15[[#This Row],[Lineage]]&amp;"-"&amp;Table15[[#This Row],[Gen]]</f>
        <v>5-7</v>
      </c>
      <c r="B28">
        <v>5</v>
      </c>
      <c r="C28">
        <v>7</v>
      </c>
      <c r="D28" t="s">
        <v>4</v>
      </c>
      <c r="E28" t="s">
        <v>5</v>
      </c>
      <c r="F28">
        <f>SUMIFS(Table1[Survival],Table1[Lineage],"="&amp;Table15[[#This Row],[Lineage]],Table1[Gen],"="&amp;Table15[[#This Row],[Gen]])/COUNTIFS(Table1[Lineage],"="&amp;Table15[[#This Row],[Lineage]],Table1[Gen],"="&amp;Table15[[#This Row],[Gen]])</f>
        <v>72772.5</v>
      </c>
      <c r="G28" t="s">
        <v>10</v>
      </c>
      <c r="H28">
        <f>IFERROR(VALUE(VLOOKUP(Table15[[#This Row],[ID]],Skills!A:D,4,FALSE)),0)</f>
        <v>0</v>
      </c>
      <c r="I28" t="b">
        <v>1</v>
      </c>
    </row>
    <row r="29" spans="1:33" x14ac:dyDescent="0.25">
      <c r="A29" t="str">
        <f>Table15[[#This Row],[Lineage]]&amp;"-"&amp;Table15[[#This Row],[Gen]]</f>
        <v>5-8</v>
      </c>
      <c r="B29">
        <v>5</v>
      </c>
      <c r="C29">
        <v>8</v>
      </c>
      <c r="D29" t="s">
        <v>4</v>
      </c>
      <c r="E29" t="s">
        <v>5</v>
      </c>
      <c r="F29">
        <f>SUMIFS(Table1[Survival],Table1[Lineage],"="&amp;Table15[[#This Row],[Lineage]],Table1[Gen],"="&amp;Table15[[#This Row],[Gen]])/COUNTIFS(Table1[Lineage],"="&amp;Table15[[#This Row],[Lineage]],Table1[Gen],"="&amp;Table15[[#This Row],[Gen]])</f>
        <v>72222.5</v>
      </c>
      <c r="G29" t="s">
        <v>10</v>
      </c>
      <c r="H29">
        <f>IFERROR(VALUE(VLOOKUP(Table15[[#This Row],[ID]],Skills!A:D,4,FALSE)),0)</f>
        <v>0</v>
      </c>
      <c r="I29" t="b">
        <v>1</v>
      </c>
    </row>
    <row r="30" spans="1:33" x14ac:dyDescent="0.25">
      <c r="A30" t="str">
        <f>Table15[[#This Row],[Lineage]]&amp;"-"&amp;Table15[[#This Row],[Gen]]</f>
        <v>5-9</v>
      </c>
      <c r="B30">
        <v>5</v>
      </c>
      <c r="C30">
        <v>9</v>
      </c>
      <c r="D30" t="s">
        <v>4</v>
      </c>
      <c r="E30" t="s">
        <v>5</v>
      </c>
      <c r="F30">
        <f>SUMIFS(Table1[Survival],Table1[Lineage],"="&amp;Table15[[#This Row],[Lineage]],Table1[Gen],"="&amp;Table15[[#This Row],[Gen]])/COUNTIFS(Table1[Lineage],"="&amp;Table15[[#This Row],[Lineage]],Table1[Gen],"="&amp;Table15[[#This Row],[Gen]])</f>
        <v>49914</v>
      </c>
      <c r="G30" t="s">
        <v>10</v>
      </c>
      <c r="H30">
        <f>IFERROR(VALUE(VLOOKUP(Table15[[#This Row],[ID]],Skills!A:D,4,FALSE)),0)</f>
        <v>0</v>
      </c>
      <c r="I30" t="b">
        <v>1</v>
      </c>
    </row>
    <row r="31" spans="1:33" x14ac:dyDescent="0.25">
      <c r="A31" t="str">
        <f>Table15[[#This Row],[Lineage]]&amp;"-"&amp;Table15[[#This Row],[Gen]]</f>
        <v>5-10</v>
      </c>
      <c r="B31">
        <v>5</v>
      </c>
      <c r="C31">
        <v>10</v>
      </c>
      <c r="D31" t="s">
        <v>4</v>
      </c>
      <c r="E31" t="s">
        <v>5</v>
      </c>
      <c r="F31">
        <f>SUMIFS(Table1[Survival],Table1[Lineage],"="&amp;Table15[[#This Row],[Lineage]],Table1[Gen],"="&amp;Table15[[#This Row],[Gen]])/COUNTIFS(Table1[Lineage],"="&amp;Table15[[#This Row],[Lineage]],Table1[Gen],"="&amp;Table15[[#This Row],[Gen]])</f>
        <v>74210.5</v>
      </c>
      <c r="G31" t="s">
        <v>10</v>
      </c>
      <c r="H31">
        <f>IFERROR(VALUE(VLOOKUP(Table15[[#This Row],[ID]],Skills!A:D,4,FALSE)),0)</f>
        <v>0</v>
      </c>
      <c r="I31" t="b">
        <v>1</v>
      </c>
    </row>
    <row r="32" spans="1:33" x14ac:dyDescent="0.25">
      <c r="A32" t="str">
        <f>Table15[[#This Row],[Lineage]]&amp;"-"&amp;Table15[[#This Row],[Gen]]</f>
        <v>6-1</v>
      </c>
      <c r="B32">
        <v>6</v>
      </c>
      <c r="C32">
        <v>1</v>
      </c>
      <c r="D32" t="s">
        <v>8</v>
      </c>
      <c r="E32" t="s">
        <v>5</v>
      </c>
      <c r="F32">
        <f>SUMIFS(Table1[Survival],Table1[Lineage],"="&amp;Table15[[#This Row],[Lineage]],Table1[Gen],"="&amp;Table15[[#This Row],[Gen]])/COUNTIFS(Table1[Lineage],"="&amp;Table15[[#This Row],[Lineage]],Table1[Gen],"="&amp;Table15[[#This Row],[Gen]])</f>
        <v>79465</v>
      </c>
      <c r="G32" t="s">
        <v>10</v>
      </c>
      <c r="H32">
        <f>IFERROR(VALUE(VLOOKUP(Table15[[#This Row],[ID]],Skills!A:D,4,FALSE)),0)</f>
        <v>0</v>
      </c>
      <c r="I32" t="b">
        <v>1</v>
      </c>
    </row>
    <row r="33" spans="1:9" x14ac:dyDescent="0.25">
      <c r="A33" t="str">
        <f>Table15[[#This Row],[Lineage]]&amp;"-"&amp;Table15[[#This Row],[Gen]]</f>
        <v>6-2</v>
      </c>
      <c r="B33">
        <v>6</v>
      </c>
      <c r="C33">
        <v>2</v>
      </c>
      <c r="D33" t="s">
        <v>8</v>
      </c>
      <c r="E33" t="s">
        <v>5</v>
      </c>
      <c r="F33">
        <f>SUMIFS(Table1[Survival],Table1[Lineage],"="&amp;Table15[[#This Row],[Lineage]],Table1[Gen],"="&amp;Table15[[#This Row],[Gen]])/COUNTIFS(Table1[Lineage],"="&amp;Table15[[#This Row],[Lineage]],Table1[Gen],"="&amp;Table15[[#This Row],[Gen]])</f>
        <v>73288.5</v>
      </c>
      <c r="G33" t="s">
        <v>10</v>
      </c>
      <c r="H33">
        <f>IFERROR(VALUE(VLOOKUP(Table15[[#This Row],[ID]],Skills!A:D,4,FALSE)),0)</f>
        <v>0</v>
      </c>
      <c r="I33" t="b">
        <v>1</v>
      </c>
    </row>
    <row r="34" spans="1:9" x14ac:dyDescent="0.25">
      <c r="A34" t="str">
        <f>Table15[[#This Row],[Lineage]]&amp;"-"&amp;Table15[[#This Row],[Gen]]</f>
        <v>6-3</v>
      </c>
      <c r="B34">
        <v>6</v>
      </c>
      <c r="C34">
        <v>3</v>
      </c>
      <c r="D34" t="s">
        <v>8</v>
      </c>
      <c r="E34" t="s">
        <v>5</v>
      </c>
      <c r="F34">
        <f>SUMIFS(Table1[Survival],Table1[Lineage],"="&amp;Table15[[#This Row],[Lineage]],Table1[Gen],"="&amp;Table15[[#This Row],[Gen]])/COUNTIFS(Table1[Lineage],"="&amp;Table15[[#This Row],[Lineage]],Table1[Gen],"="&amp;Table15[[#This Row],[Gen]])</f>
        <v>56894.5</v>
      </c>
      <c r="G34" t="s">
        <v>10</v>
      </c>
      <c r="H34">
        <f>IFERROR(VALUE(VLOOKUP(Table15[[#This Row],[ID]],Skills!A:D,4,FALSE)),0)</f>
        <v>0</v>
      </c>
      <c r="I34" t="b">
        <v>1</v>
      </c>
    </row>
    <row r="35" spans="1:9" x14ac:dyDescent="0.25">
      <c r="A35" t="str">
        <f>Table15[[#This Row],[Lineage]]&amp;"-"&amp;Table15[[#This Row],[Gen]]</f>
        <v>6-4</v>
      </c>
      <c r="B35">
        <v>6</v>
      </c>
      <c r="C35">
        <v>4</v>
      </c>
      <c r="D35" t="s">
        <v>8</v>
      </c>
      <c r="E35" t="s">
        <v>5</v>
      </c>
      <c r="F35">
        <f>SUMIFS(Table1[Survival],Table1[Lineage],"="&amp;Table15[[#This Row],[Lineage]],Table1[Gen],"="&amp;Table15[[#This Row],[Gen]])/COUNTIFS(Table1[Lineage],"="&amp;Table15[[#This Row],[Lineage]],Table1[Gen],"="&amp;Table15[[#This Row],[Gen]])</f>
        <v>71935</v>
      </c>
      <c r="G35" t="s">
        <v>10</v>
      </c>
      <c r="H35">
        <f>IFERROR(VALUE(VLOOKUP(Table15[[#This Row],[ID]],Skills!A:D,4,FALSE)),0)</f>
        <v>1</v>
      </c>
      <c r="I35" t="b">
        <v>1</v>
      </c>
    </row>
    <row r="36" spans="1:9" x14ac:dyDescent="0.25">
      <c r="A36" t="str">
        <f>Table15[[#This Row],[Lineage]]&amp;"-"&amp;Table15[[#This Row],[Gen]]</f>
        <v>6-5</v>
      </c>
      <c r="B36">
        <v>6</v>
      </c>
      <c r="C36">
        <v>5</v>
      </c>
      <c r="D36" t="s">
        <v>8</v>
      </c>
      <c r="E36" t="s">
        <v>5</v>
      </c>
      <c r="F36">
        <f>SUMIFS(Table1[Survival],Table1[Lineage],"="&amp;Table15[[#This Row],[Lineage]],Table1[Gen],"="&amp;Table15[[#This Row],[Gen]])/COUNTIFS(Table1[Lineage],"="&amp;Table15[[#This Row],[Lineage]],Table1[Gen],"="&amp;Table15[[#This Row],[Gen]])</f>
        <v>68376</v>
      </c>
      <c r="G36" t="s">
        <v>10</v>
      </c>
      <c r="H36">
        <f>IFERROR(VALUE(VLOOKUP(Table15[[#This Row],[ID]],Skills!A:D,4,FALSE)),0)</f>
        <v>0</v>
      </c>
      <c r="I36" t="b">
        <v>1</v>
      </c>
    </row>
    <row r="37" spans="1:9" x14ac:dyDescent="0.25">
      <c r="A37" t="str">
        <f>Table15[[#This Row],[Lineage]]&amp;"-"&amp;Table15[[#This Row],[Gen]]</f>
        <v>6-6</v>
      </c>
      <c r="B37">
        <v>6</v>
      </c>
      <c r="C37">
        <v>6</v>
      </c>
      <c r="D37" t="s">
        <v>8</v>
      </c>
      <c r="E37" t="s">
        <v>5</v>
      </c>
      <c r="F37">
        <f>SUMIFS(Table1[Survival],Table1[Lineage],"="&amp;Table15[[#This Row],[Lineage]],Table1[Gen],"="&amp;Table15[[#This Row],[Gen]])/COUNTIFS(Table1[Lineage],"="&amp;Table15[[#This Row],[Lineage]],Table1[Gen],"="&amp;Table15[[#This Row],[Gen]])</f>
        <v>76427</v>
      </c>
      <c r="G37" t="s">
        <v>10</v>
      </c>
      <c r="H37">
        <f>IFERROR(VALUE(VLOOKUP(Table15[[#This Row],[ID]],Skills!A:D,4,FALSE)),0)</f>
        <v>0</v>
      </c>
      <c r="I37" t="b">
        <v>1</v>
      </c>
    </row>
    <row r="38" spans="1:9" x14ac:dyDescent="0.25">
      <c r="A38" t="str">
        <f>Table15[[#This Row],[Lineage]]&amp;"-"&amp;Table15[[#This Row],[Gen]]</f>
        <v>6-7</v>
      </c>
      <c r="B38">
        <v>6</v>
      </c>
      <c r="C38">
        <v>7</v>
      </c>
      <c r="D38" t="s">
        <v>8</v>
      </c>
      <c r="E38" t="s">
        <v>5</v>
      </c>
      <c r="F38">
        <f>SUMIFS(Table1[Survival],Table1[Lineage],"="&amp;Table15[[#This Row],[Lineage]],Table1[Gen],"="&amp;Table15[[#This Row],[Gen]])/COUNTIFS(Table1[Lineage],"="&amp;Table15[[#This Row],[Lineage]],Table1[Gen],"="&amp;Table15[[#This Row],[Gen]])</f>
        <v>79428.5</v>
      </c>
      <c r="G38" t="s">
        <v>10</v>
      </c>
      <c r="H38">
        <f>IFERROR(VALUE(VLOOKUP(Table15[[#This Row],[ID]],Skills!A:D,4,FALSE)),0)</f>
        <v>0</v>
      </c>
      <c r="I38" t="b">
        <v>1</v>
      </c>
    </row>
    <row r="39" spans="1:9" x14ac:dyDescent="0.25">
      <c r="A39" t="str">
        <f>Table15[[#This Row],[Lineage]]&amp;"-"&amp;Table15[[#This Row],[Gen]]</f>
        <v>6-8</v>
      </c>
      <c r="B39">
        <v>6</v>
      </c>
      <c r="C39">
        <v>8</v>
      </c>
      <c r="D39" t="s">
        <v>8</v>
      </c>
      <c r="E39" t="s">
        <v>5</v>
      </c>
      <c r="F39">
        <f>SUMIFS(Table1[Survival],Table1[Lineage],"="&amp;Table15[[#This Row],[Lineage]],Table1[Gen],"="&amp;Table15[[#This Row],[Gen]])/COUNTIFS(Table1[Lineage],"="&amp;Table15[[#This Row],[Lineage]],Table1[Gen],"="&amp;Table15[[#This Row],[Gen]])</f>
        <v>54023.5</v>
      </c>
      <c r="G39" t="s">
        <v>10</v>
      </c>
      <c r="H39">
        <f>IFERROR(VALUE(VLOOKUP(Table15[[#This Row],[ID]],Skills!A:D,4,FALSE)),0)</f>
        <v>0</v>
      </c>
      <c r="I39" t="b">
        <v>1</v>
      </c>
    </row>
    <row r="40" spans="1:9" x14ac:dyDescent="0.25">
      <c r="A40" t="str">
        <f>Table15[[#This Row],[Lineage]]&amp;"-"&amp;Table15[[#This Row],[Gen]]</f>
        <v>6-9</v>
      </c>
      <c r="B40">
        <v>6</v>
      </c>
      <c r="C40">
        <v>9</v>
      </c>
      <c r="D40" t="s">
        <v>8</v>
      </c>
      <c r="E40" t="s">
        <v>5</v>
      </c>
      <c r="F40">
        <f>SUMIFS(Table1[Survival],Table1[Lineage],"="&amp;Table15[[#This Row],[Lineage]],Table1[Gen],"="&amp;Table15[[#This Row],[Gen]])/COUNTIFS(Table1[Lineage],"="&amp;Table15[[#This Row],[Lineage]],Table1[Gen],"="&amp;Table15[[#This Row],[Gen]])</f>
        <v>82768</v>
      </c>
      <c r="G40" t="s">
        <v>10</v>
      </c>
      <c r="H40">
        <f>IFERROR(VALUE(VLOOKUP(Table15[[#This Row],[ID]],Skills!A:D,4,FALSE)),0)</f>
        <v>0</v>
      </c>
      <c r="I40" t="b">
        <v>1</v>
      </c>
    </row>
    <row r="41" spans="1:9" x14ac:dyDescent="0.25">
      <c r="A41" t="str">
        <f>Table15[[#This Row],[Lineage]]&amp;"-"&amp;Table15[[#This Row],[Gen]]</f>
        <v>6-10</v>
      </c>
      <c r="B41">
        <v>6</v>
      </c>
      <c r="C41">
        <v>10</v>
      </c>
      <c r="D41" t="s">
        <v>8</v>
      </c>
      <c r="E41" t="s">
        <v>5</v>
      </c>
      <c r="F41">
        <f>SUMIFS(Table1[Survival],Table1[Lineage],"="&amp;Table15[[#This Row],[Lineage]],Table1[Gen],"="&amp;Table15[[#This Row],[Gen]])/COUNTIFS(Table1[Lineage],"="&amp;Table15[[#This Row],[Lineage]],Table1[Gen],"="&amp;Table15[[#This Row],[Gen]])</f>
        <v>83743</v>
      </c>
      <c r="G41" t="s">
        <v>10</v>
      </c>
      <c r="H41">
        <f>IFERROR(VALUE(VLOOKUP(Table15[[#This Row],[ID]],Skills!A:D,4,FALSE)),0)</f>
        <v>0</v>
      </c>
      <c r="I41" t="b">
        <v>1</v>
      </c>
    </row>
    <row r="42" spans="1:9" x14ac:dyDescent="0.25">
      <c r="A42" t="str">
        <f>Table15[[#This Row],[Lineage]]&amp;"-"&amp;Table15[[#This Row],[Gen]]</f>
        <v>7-1</v>
      </c>
      <c r="B42">
        <v>7</v>
      </c>
      <c r="C42">
        <v>1</v>
      </c>
      <c r="D42" t="s">
        <v>8</v>
      </c>
      <c r="E42" t="s">
        <v>9</v>
      </c>
      <c r="F42">
        <f>SUMIFS(Table1[Survival],Table1[Lineage],"="&amp;Table15[[#This Row],[Lineage]],Table1[Gen],"="&amp;Table15[[#This Row],[Gen]])/COUNTIFS(Table1[Lineage],"="&amp;Table15[[#This Row],[Lineage]],Table1[Gen],"="&amp;Table15[[#This Row],[Gen]])</f>
        <v>83448.333333333328</v>
      </c>
      <c r="G42" t="s">
        <v>11</v>
      </c>
      <c r="H42">
        <f>IFERROR(VALUE(VLOOKUP(Table15[[#This Row],[ID]],Skills!A:D,4,FALSE)),0)</f>
        <v>1</v>
      </c>
      <c r="I42" t="b">
        <v>1</v>
      </c>
    </row>
    <row r="43" spans="1:9" x14ac:dyDescent="0.25">
      <c r="A43" t="str">
        <f>Table15[[#This Row],[Lineage]]&amp;"-"&amp;Table15[[#This Row],[Gen]]</f>
        <v>7-2</v>
      </c>
      <c r="B43">
        <v>7</v>
      </c>
      <c r="C43">
        <v>2</v>
      </c>
      <c r="D43" t="s">
        <v>8</v>
      </c>
      <c r="E43" t="s">
        <v>9</v>
      </c>
      <c r="F43">
        <f>SUMIFS(Table1[Survival],Table1[Lineage],"="&amp;Table15[[#This Row],[Lineage]],Table1[Gen],"="&amp;Table15[[#This Row],[Gen]])/COUNTIFS(Table1[Lineage],"="&amp;Table15[[#This Row],[Lineage]],Table1[Gen],"="&amp;Table15[[#This Row],[Gen]])</f>
        <v>62239.333333333336</v>
      </c>
      <c r="G43" t="s">
        <v>11</v>
      </c>
      <c r="H43">
        <f>IFERROR(VALUE(VLOOKUP(Table15[[#This Row],[ID]],Skills!A:D,4,FALSE)),0)</f>
        <v>0</v>
      </c>
      <c r="I43" t="b">
        <v>1</v>
      </c>
    </row>
    <row r="44" spans="1:9" x14ac:dyDescent="0.25">
      <c r="A44" t="str">
        <f>Table15[[#This Row],[Lineage]]&amp;"-"&amp;Table15[[#This Row],[Gen]]</f>
        <v>7-3</v>
      </c>
      <c r="B44">
        <v>7</v>
      </c>
      <c r="C44">
        <v>3</v>
      </c>
      <c r="D44" t="s">
        <v>8</v>
      </c>
      <c r="E44" t="s">
        <v>9</v>
      </c>
      <c r="F44">
        <f>SUMIFS(Table1[Survival],Table1[Lineage],"="&amp;Table15[[#This Row],[Lineage]],Table1[Gen],"="&amp;Table15[[#This Row],[Gen]])/COUNTIFS(Table1[Lineage],"="&amp;Table15[[#This Row],[Lineage]],Table1[Gen],"="&amp;Table15[[#This Row],[Gen]])</f>
        <v>72117</v>
      </c>
      <c r="G44" t="s">
        <v>11</v>
      </c>
      <c r="H44">
        <f>IFERROR(VALUE(VLOOKUP(Table15[[#This Row],[ID]],Skills!A:D,4,FALSE)),0)</f>
        <v>0</v>
      </c>
      <c r="I44" t="b">
        <v>1</v>
      </c>
    </row>
    <row r="45" spans="1:9" x14ac:dyDescent="0.25">
      <c r="A45" t="str">
        <f>Table15[[#This Row],[Lineage]]&amp;"-"&amp;Table15[[#This Row],[Gen]]</f>
        <v>7-4</v>
      </c>
      <c r="B45">
        <v>7</v>
      </c>
      <c r="C45">
        <v>4</v>
      </c>
      <c r="D45" t="s">
        <v>8</v>
      </c>
      <c r="E45" t="s">
        <v>9</v>
      </c>
      <c r="F45">
        <f>SUMIFS(Table1[Survival],Table1[Lineage],"="&amp;Table15[[#This Row],[Lineage]],Table1[Gen],"="&amp;Table15[[#This Row],[Gen]])/COUNTIFS(Table1[Lineage],"="&amp;Table15[[#This Row],[Lineage]],Table1[Gen],"="&amp;Table15[[#This Row],[Gen]])</f>
        <v>84421.666666666672</v>
      </c>
      <c r="G45" t="s">
        <v>11</v>
      </c>
      <c r="H45">
        <f>IFERROR(VALUE(VLOOKUP(Table15[[#This Row],[ID]],Skills!A:D,4,FALSE)),0)</f>
        <v>0</v>
      </c>
      <c r="I45" t="b">
        <v>1</v>
      </c>
    </row>
    <row r="46" spans="1:9" x14ac:dyDescent="0.25">
      <c r="A46" t="str">
        <f>Table15[[#This Row],[Lineage]]&amp;"-"&amp;Table15[[#This Row],[Gen]]</f>
        <v>7-5</v>
      </c>
      <c r="B46">
        <v>7</v>
      </c>
      <c r="C46">
        <v>5</v>
      </c>
      <c r="D46" t="s">
        <v>8</v>
      </c>
      <c r="E46" t="s">
        <v>9</v>
      </c>
      <c r="F46">
        <f>SUMIFS(Table1[Survival],Table1[Lineage],"="&amp;Table15[[#This Row],[Lineage]],Table1[Gen],"="&amp;Table15[[#This Row],[Gen]])/COUNTIFS(Table1[Lineage],"="&amp;Table15[[#This Row],[Lineage]],Table1[Gen],"="&amp;Table15[[#This Row],[Gen]])</f>
        <v>70463.666666666672</v>
      </c>
      <c r="G46" t="s">
        <v>11</v>
      </c>
      <c r="H46">
        <f>IFERROR(VALUE(VLOOKUP(Table15[[#This Row],[ID]],Skills!A:D,4,FALSE)),0)</f>
        <v>0</v>
      </c>
      <c r="I46" t="b">
        <v>1</v>
      </c>
    </row>
    <row r="47" spans="1:9" x14ac:dyDescent="0.25">
      <c r="A47" t="str">
        <f>Table15[[#This Row],[Lineage]]&amp;"-"&amp;Table15[[#This Row],[Gen]]</f>
        <v>8-1</v>
      </c>
      <c r="B47">
        <v>8</v>
      </c>
      <c r="C47">
        <v>1</v>
      </c>
      <c r="D47" t="s">
        <v>8</v>
      </c>
      <c r="E47" t="s">
        <v>9</v>
      </c>
      <c r="F47">
        <f>SUMIFS(Table1[Survival],Table1[Lineage],"="&amp;Table15[[#This Row],[Lineage]],Table1[Gen],"="&amp;Table15[[#This Row],[Gen]])/COUNTIFS(Table1[Lineage],"="&amp;Table15[[#This Row],[Lineage]],Table1[Gen],"="&amp;Table15[[#This Row],[Gen]])</f>
        <v>70073.666666666672</v>
      </c>
      <c r="G47" t="s">
        <v>11</v>
      </c>
      <c r="H47">
        <f>IFERROR(VALUE(VLOOKUP(Table15[[#This Row],[ID]],Skills!A:D,4,FALSE)),0)</f>
        <v>0</v>
      </c>
      <c r="I47" t="b">
        <v>1</v>
      </c>
    </row>
    <row r="48" spans="1:9" x14ac:dyDescent="0.25">
      <c r="A48" t="str">
        <f>Table15[[#This Row],[Lineage]]&amp;"-"&amp;Table15[[#This Row],[Gen]]</f>
        <v>8-2</v>
      </c>
      <c r="B48">
        <v>8</v>
      </c>
      <c r="C48">
        <v>2</v>
      </c>
      <c r="D48" t="s">
        <v>8</v>
      </c>
      <c r="E48" t="s">
        <v>9</v>
      </c>
      <c r="F48">
        <f>SUMIFS(Table1[Survival],Table1[Lineage],"="&amp;Table15[[#This Row],[Lineage]],Table1[Gen],"="&amp;Table15[[#This Row],[Gen]])/COUNTIFS(Table1[Lineage],"="&amp;Table15[[#This Row],[Lineage]],Table1[Gen],"="&amp;Table15[[#This Row],[Gen]])</f>
        <v>69770.666666666672</v>
      </c>
      <c r="G48" t="s">
        <v>11</v>
      </c>
      <c r="H48">
        <f>IFERROR(VALUE(VLOOKUP(Table15[[#This Row],[ID]],Skills!A:D,4,FALSE)),0)</f>
        <v>0</v>
      </c>
      <c r="I48" t="b">
        <v>1</v>
      </c>
    </row>
    <row r="49" spans="1:9" x14ac:dyDescent="0.25">
      <c r="A49" t="str">
        <f>Table15[[#This Row],[Lineage]]&amp;"-"&amp;Table15[[#This Row],[Gen]]</f>
        <v>8-3</v>
      </c>
      <c r="B49">
        <v>8</v>
      </c>
      <c r="C49">
        <v>3</v>
      </c>
      <c r="D49" t="s">
        <v>8</v>
      </c>
      <c r="E49" t="s">
        <v>9</v>
      </c>
      <c r="F49">
        <f>SUMIFS(Table1[Survival],Table1[Lineage],"="&amp;Table15[[#This Row],[Lineage]],Table1[Gen],"="&amp;Table15[[#This Row],[Gen]])/COUNTIFS(Table1[Lineage],"="&amp;Table15[[#This Row],[Lineage]],Table1[Gen],"="&amp;Table15[[#This Row],[Gen]])</f>
        <v>79835</v>
      </c>
      <c r="G49" t="s">
        <v>11</v>
      </c>
      <c r="H49">
        <f>IFERROR(VALUE(VLOOKUP(Table15[[#This Row],[ID]],Skills!A:D,4,FALSE)),0)</f>
        <v>1</v>
      </c>
      <c r="I49" t="b">
        <v>1</v>
      </c>
    </row>
    <row r="50" spans="1:9" x14ac:dyDescent="0.25">
      <c r="A50" t="str">
        <f>Table15[[#This Row],[Lineage]]&amp;"-"&amp;Table15[[#This Row],[Gen]]</f>
        <v>8-4</v>
      </c>
      <c r="B50">
        <v>8</v>
      </c>
      <c r="C50">
        <v>4</v>
      </c>
      <c r="D50" t="s">
        <v>8</v>
      </c>
      <c r="E50" t="s">
        <v>9</v>
      </c>
      <c r="F50">
        <f>SUMIFS(Table1[Survival],Table1[Lineage],"="&amp;Table15[[#This Row],[Lineage]],Table1[Gen],"="&amp;Table15[[#This Row],[Gen]])/COUNTIFS(Table1[Lineage],"="&amp;Table15[[#This Row],[Lineage]],Table1[Gen],"="&amp;Table15[[#This Row],[Gen]])</f>
        <v>84599.333333333328</v>
      </c>
      <c r="G50" t="s">
        <v>11</v>
      </c>
      <c r="H50">
        <f>IFERROR(VALUE(VLOOKUP(Table15[[#This Row],[ID]],Skills!A:D,4,FALSE)),0)</f>
        <v>0</v>
      </c>
      <c r="I50" t="b">
        <v>1</v>
      </c>
    </row>
    <row r="51" spans="1:9" x14ac:dyDescent="0.25">
      <c r="A51" t="str">
        <f>Table15[[#This Row],[Lineage]]&amp;"-"&amp;Table15[[#This Row],[Gen]]</f>
        <v>8-5</v>
      </c>
      <c r="B51">
        <v>8</v>
      </c>
      <c r="C51">
        <v>5</v>
      </c>
      <c r="D51" t="s">
        <v>8</v>
      </c>
      <c r="E51" t="s">
        <v>9</v>
      </c>
      <c r="F51">
        <f>SUMIFS(Table1[Survival],Table1[Lineage],"="&amp;Table15[[#This Row],[Lineage]],Table1[Gen],"="&amp;Table15[[#This Row],[Gen]])/COUNTIFS(Table1[Lineage],"="&amp;Table15[[#This Row],[Lineage]],Table1[Gen],"="&amp;Table15[[#This Row],[Gen]])</f>
        <v>74357.666666666672</v>
      </c>
      <c r="G51" t="s">
        <v>11</v>
      </c>
      <c r="H51">
        <f>IFERROR(VALUE(VLOOKUP(Table15[[#This Row],[ID]],Skills!A:D,4,FALSE)),0)</f>
        <v>0</v>
      </c>
      <c r="I51" t="b">
        <v>1</v>
      </c>
    </row>
    <row r="52" spans="1:9" x14ac:dyDescent="0.25">
      <c r="A52" t="str">
        <f>Table15[[#This Row],[Lineage]]&amp;"-"&amp;Table15[[#This Row],[Gen]]</f>
        <v>9-1</v>
      </c>
      <c r="B52">
        <v>9</v>
      </c>
      <c r="C52">
        <v>1</v>
      </c>
      <c r="D52" t="s">
        <v>8</v>
      </c>
      <c r="E52" t="s">
        <v>9</v>
      </c>
      <c r="F52">
        <f>SUMIFS(Table1[Survival],Table1[Lineage],"="&amp;Table15[[#This Row],[Lineage]],Table1[Gen],"="&amp;Table15[[#This Row],[Gen]])/COUNTIFS(Table1[Lineage],"="&amp;Table15[[#This Row],[Lineage]],Table1[Gen],"="&amp;Table15[[#This Row],[Gen]])</f>
        <v>78373</v>
      </c>
      <c r="G52" t="s">
        <v>12</v>
      </c>
      <c r="H52">
        <f>IFERROR(VALUE(VLOOKUP(Table15[[#This Row],[ID]],Skills!A:D,4,FALSE)),0)</f>
        <v>3</v>
      </c>
      <c r="I52" t="b">
        <v>0</v>
      </c>
    </row>
    <row r="53" spans="1:9" x14ac:dyDescent="0.25">
      <c r="A53" t="str">
        <f>Table15[[#This Row],[Lineage]]&amp;"-"&amp;Table15[[#This Row],[Gen]]</f>
        <v>9-2</v>
      </c>
      <c r="B53">
        <v>9</v>
      </c>
      <c r="C53">
        <v>2</v>
      </c>
      <c r="D53" t="s">
        <v>8</v>
      </c>
      <c r="E53" t="s">
        <v>9</v>
      </c>
      <c r="F53">
        <f>SUMIFS(Table1[Survival],Table1[Lineage],"="&amp;Table15[[#This Row],[Lineage]],Table1[Gen],"="&amp;Table15[[#This Row],[Gen]])/COUNTIFS(Table1[Lineage],"="&amp;Table15[[#This Row],[Lineage]],Table1[Gen],"="&amp;Table15[[#This Row],[Gen]])</f>
        <v>72188</v>
      </c>
      <c r="G53" t="s">
        <v>12</v>
      </c>
      <c r="H53">
        <f>IFERROR(VALUE(VLOOKUP(Table15[[#This Row],[ID]],Skills!A:D,4,FALSE)),0)</f>
        <v>2</v>
      </c>
      <c r="I53" t="b">
        <v>0</v>
      </c>
    </row>
    <row r="54" spans="1:9" x14ac:dyDescent="0.25">
      <c r="A54" t="str">
        <f>Table15[[#This Row],[Lineage]]&amp;"-"&amp;Table15[[#This Row],[Gen]]</f>
        <v>9-3</v>
      </c>
      <c r="B54">
        <v>9</v>
      </c>
      <c r="C54">
        <v>3</v>
      </c>
      <c r="D54" t="s">
        <v>8</v>
      </c>
      <c r="E54" t="s">
        <v>9</v>
      </c>
      <c r="F54">
        <f>SUMIFS(Table1[Survival],Table1[Lineage],"="&amp;Table15[[#This Row],[Lineage]],Table1[Gen],"="&amp;Table15[[#This Row],[Gen]])/COUNTIFS(Table1[Lineage],"="&amp;Table15[[#This Row],[Lineage]],Table1[Gen],"="&amp;Table15[[#This Row],[Gen]])</f>
        <v>54607.5</v>
      </c>
      <c r="G54" t="s">
        <v>12</v>
      </c>
      <c r="H54">
        <f>IFERROR(VALUE(VLOOKUP(Table15[[#This Row],[ID]],Skills!A:D,4,FALSE)),0)</f>
        <v>1</v>
      </c>
      <c r="I54" t="b">
        <v>0</v>
      </c>
    </row>
    <row r="55" spans="1:9" x14ac:dyDescent="0.25">
      <c r="A55" t="str">
        <f>Table15[[#This Row],[Lineage]]&amp;"-"&amp;Table15[[#This Row],[Gen]]</f>
        <v>9-4</v>
      </c>
      <c r="B55">
        <v>9</v>
      </c>
      <c r="C55">
        <v>4</v>
      </c>
      <c r="D55" t="s">
        <v>8</v>
      </c>
      <c r="E55" t="s">
        <v>9</v>
      </c>
      <c r="F55">
        <f>SUMIFS(Table1[Survival],Table1[Lineage],"="&amp;Table15[[#This Row],[Lineage]],Table1[Gen],"="&amp;Table15[[#This Row],[Gen]])/COUNTIFS(Table1[Lineage],"="&amp;Table15[[#This Row],[Lineage]],Table1[Gen],"="&amp;Table15[[#This Row],[Gen]])</f>
        <v>52419.5</v>
      </c>
      <c r="G55" t="s">
        <v>12</v>
      </c>
      <c r="H55">
        <f>IFERROR(VALUE(VLOOKUP(Table15[[#This Row],[ID]],Skills!A:D,4,FALSE)),0)</f>
        <v>0</v>
      </c>
      <c r="I55" t="b">
        <v>0</v>
      </c>
    </row>
    <row r="56" spans="1:9" x14ac:dyDescent="0.25">
      <c r="A56" t="str">
        <f>Table15[[#This Row],[Lineage]]&amp;"-"&amp;Table15[[#This Row],[Gen]]</f>
        <v>9-5</v>
      </c>
      <c r="B56">
        <v>9</v>
      </c>
      <c r="C56">
        <v>5</v>
      </c>
      <c r="D56" t="s">
        <v>8</v>
      </c>
      <c r="E56" t="s">
        <v>9</v>
      </c>
      <c r="F56">
        <f>SUMIFS(Table1[Survival],Table1[Lineage],"="&amp;Table15[[#This Row],[Lineage]],Table1[Gen],"="&amp;Table15[[#This Row],[Gen]])/COUNTIFS(Table1[Lineage],"="&amp;Table15[[#This Row],[Lineage]],Table1[Gen],"="&amp;Table15[[#This Row],[Gen]])</f>
        <v>45836.5</v>
      </c>
      <c r="G56" t="s">
        <v>12</v>
      </c>
      <c r="H56">
        <f>IFERROR(VALUE(VLOOKUP(Table15[[#This Row],[ID]],Skills!A:D,4,FALSE)),0)</f>
        <v>3</v>
      </c>
      <c r="I56" t="b">
        <v>0</v>
      </c>
    </row>
    <row r="57" spans="1:9" x14ac:dyDescent="0.25">
      <c r="A57" t="str">
        <f>Table15[[#This Row],[Lineage]]&amp;"-"&amp;Table15[[#This Row],[Gen]]</f>
        <v>9-6</v>
      </c>
      <c r="B57">
        <v>9</v>
      </c>
      <c r="C57">
        <v>6</v>
      </c>
      <c r="D57" t="s">
        <v>8</v>
      </c>
      <c r="E57" t="s">
        <v>9</v>
      </c>
      <c r="F57">
        <f>SUMIFS(Table1[Survival],Table1[Lineage],"="&amp;Table15[[#This Row],[Lineage]],Table1[Gen],"="&amp;Table15[[#This Row],[Gen]])/COUNTIFS(Table1[Lineage],"="&amp;Table15[[#This Row],[Lineage]],Table1[Gen],"="&amp;Table15[[#This Row],[Gen]])</f>
        <v>52969.5</v>
      </c>
      <c r="G57" t="s">
        <v>12</v>
      </c>
      <c r="H57">
        <f>IFERROR(VALUE(VLOOKUP(Table15[[#This Row],[ID]],Skills!A:D,4,FALSE)),0)</f>
        <v>1</v>
      </c>
      <c r="I57" t="b">
        <v>0</v>
      </c>
    </row>
    <row r="58" spans="1:9" x14ac:dyDescent="0.25">
      <c r="A58" t="str">
        <f>Table15[[#This Row],[Lineage]]&amp;"-"&amp;Table15[[#This Row],[Gen]]</f>
        <v>9-7</v>
      </c>
      <c r="B58">
        <v>9</v>
      </c>
      <c r="C58">
        <v>7</v>
      </c>
      <c r="D58" t="s">
        <v>8</v>
      </c>
      <c r="E58" t="s">
        <v>9</v>
      </c>
      <c r="F58">
        <f>SUMIFS(Table1[Survival],Table1[Lineage],"="&amp;Table15[[#This Row],[Lineage]],Table1[Gen],"="&amp;Table15[[#This Row],[Gen]])/COUNTIFS(Table1[Lineage],"="&amp;Table15[[#This Row],[Lineage]],Table1[Gen],"="&amp;Table15[[#This Row],[Gen]])</f>
        <v>50595.5</v>
      </c>
      <c r="G58" t="s">
        <v>12</v>
      </c>
      <c r="H58">
        <f>IFERROR(VALUE(VLOOKUP(Table15[[#This Row],[ID]],Skills!A:D,4,FALSE)),0)</f>
        <v>1</v>
      </c>
      <c r="I58" t="b">
        <v>0</v>
      </c>
    </row>
    <row r="59" spans="1:9" x14ac:dyDescent="0.25">
      <c r="A59" t="str">
        <f>Table15[[#This Row],[Lineage]]&amp;"-"&amp;Table15[[#This Row],[Gen]]</f>
        <v>9-8</v>
      </c>
      <c r="B59">
        <v>9</v>
      </c>
      <c r="C59">
        <v>8</v>
      </c>
      <c r="D59" t="s">
        <v>8</v>
      </c>
      <c r="E59" t="s">
        <v>9</v>
      </c>
      <c r="F59">
        <f>SUMIFS(Table1[Survival],Table1[Lineage],"="&amp;Table15[[#This Row],[Lineage]],Table1[Gen],"="&amp;Table15[[#This Row],[Gen]])/COUNTIFS(Table1[Lineage],"="&amp;Table15[[#This Row],[Lineage]],Table1[Gen],"="&amp;Table15[[#This Row],[Gen]])</f>
        <v>51858.5</v>
      </c>
      <c r="G59" t="s">
        <v>12</v>
      </c>
      <c r="H59">
        <f>IFERROR(VALUE(VLOOKUP(Table15[[#This Row],[ID]],Skills!A:D,4,FALSE)),0)</f>
        <v>0</v>
      </c>
      <c r="I59" t="b">
        <v>0</v>
      </c>
    </row>
    <row r="60" spans="1:9" x14ac:dyDescent="0.25">
      <c r="A60" t="str">
        <f>Table15[[#This Row],[Lineage]]&amp;"-"&amp;Table15[[#This Row],[Gen]]</f>
        <v>9-9</v>
      </c>
      <c r="B60">
        <v>9</v>
      </c>
      <c r="C60">
        <v>9</v>
      </c>
      <c r="D60" t="s">
        <v>8</v>
      </c>
      <c r="E60" t="s">
        <v>9</v>
      </c>
      <c r="F60">
        <f>SUMIFS(Table1[Survival],Table1[Lineage],"="&amp;Table15[[#This Row],[Lineage]],Table1[Gen],"="&amp;Table15[[#This Row],[Gen]])/COUNTIFS(Table1[Lineage],"="&amp;Table15[[#This Row],[Lineage]],Table1[Gen],"="&amp;Table15[[#This Row],[Gen]])</f>
        <v>54586.5</v>
      </c>
      <c r="G60" t="s">
        <v>12</v>
      </c>
      <c r="H60">
        <f>IFERROR(VALUE(VLOOKUP(Table15[[#This Row],[ID]],Skills!A:D,4,FALSE)),0)</f>
        <v>0</v>
      </c>
      <c r="I60" t="b">
        <v>0</v>
      </c>
    </row>
    <row r="61" spans="1:9" x14ac:dyDescent="0.25">
      <c r="A61" t="str">
        <f>Table15[[#This Row],[Lineage]]&amp;"-"&amp;Table15[[#This Row],[Gen]]</f>
        <v>9-10</v>
      </c>
      <c r="B61">
        <v>9</v>
      </c>
      <c r="C61">
        <v>10</v>
      </c>
      <c r="D61" t="s">
        <v>8</v>
      </c>
      <c r="E61" t="s">
        <v>9</v>
      </c>
      <c r="F61">
        <f>SUMIFS(Table1[Survival],Table1[Lineage],"="&amp;Table15[[#This Row],[Lineage]],Table1[Gen],"="&amp;Table15[[#This Row],[Gen]])/COUNTIFS(Table1[Lineage],"="&amp;Table15[[#This Row],[Lineage]],Table1[Gen],"="&amp;Table15[[#This Row],[Gen]])</f>
        <v>66890</v>
      </c>
      <c r="G61" t="s">
        <v>12</v>
      </c>
      <c r="H61">
        <f>IFERROR(VALUE(VLOOKUP(Table15[[#This Row],[ID]],Skills!A:D,4,FALSE)),0)</f>
        <v>1</v>
      </c>
      <c r="I61" t="b">
        <v>0</v>
      </c>
    </row>
    <row r="62" spans="1:9" x14ac:dyDescent="0.25">
      <c r="A62" t="str">
        <f>Table15[[#This Row],[Lineage]]&amp;"-"&amp;Table15[[#This Row],[Gen]]</f>
        <v>9-11</v>
      </c>
      <c r="B62">
        <v>9</v>
      </c>
      <c r="C62">
        <v>11</v>
      </c>
      <c r="D62" t="s">
        <v>8</v>
      </c>
      <c r="E62" t="s">
        <v>9</v>
      </c>
      <c r="F62">
        <f>SUMIFS(Table1[Survival],Table1[Lineage],"="&amp;Table15[[#This Row],[Lineage]],Table1[Gen],"="&amp;Table15[[#This Row],[Gen]])/COUNTIFS(Table1[Lineage],"="&amp;Table15[[#This Row],[Lineage]],Table1[Gen],"="&amp;Table15[[#This Row],[Gen]])</f>
        <v>49915</v>
      </c>
      <c r="G62" t="s">
        <v>12</v>
      </c>
      <c r="H62">
        <f>IFERROR(VALUE(VLOOKUP(Table15[[#This Row],[ID]],Skills!A:D,4,FALSE)),0)</f>
        <v>0</v>
      </c>
      <c r="I62" t="b">
        <v>0</v>
      </c>
    </row>
    <row r="63" spans="1:9" x14ac:dyDescent="0.25">
      <c r="A63" t="str">
        <f>Table15[[#This Row],[Lineage]]&amp;"-"&amp;Table15[[#This Row],[Gen]]</f>
        <v>9-12</v>
      </c>
      <c r="B63">
        <v>9</v>
      </c>
      <c r="C63">
        <v>12</v>
      </c>
      <c r="D63" t="s">
        <v>8</v>
      </c>
      <c r="E63" t="s">
        <v>9</v>
      </c>
      <c r="F63">
        <f>SUMIFS(Table1[Survival],Table1[Lineage],"="&amp;Table15[[#This Row],[Lineage]],Table1[Gen],"="&amp;Table15[[#This Row],[Gen]])/COUNTIFS(Table1[Lineage],"="&amp;Table15[[#This Row],[Lineage]],Table1[Gen],"="&amp;Table15[[#This Row],[Gen]])</f>
        <v>72677.5</v>
      </c>
      <c r="G63" t="s">
        <v>12</v>
      </c>
      <c r="H63">
        <f>IFERROR(VALUE(VLOOKUP(Table15[[#This Row],[ID]],Skills!A:D,4,FALSE)),0)</f>
        <v>0</v>
      </c>
      <c r="I63" t="b">
        <v>0</v>
      </c>
    </row>
    <row r="64" spans="1:9" x14ac:dyDescent="0.25">
      <c r="A64" t="str">
        <f>Table15[[#This Row],[Lineage]]&amp;"-"&amp;Table15[[#This Row],[Gen]]</f>
        <v>9-13</v>
      </c>
      <c r="B64">
        <v>9</v>
      </c>
      <c r="C64">
        <v>13</v>
      </c>
      <c r="D64" t="s">
        <v>8</v>
      </c>
      <c r="E64" t="s">
        <v>9</v>
      </c>
      <c r="F64">
        <f>SUMIFS(Table1[Survival],Table1[Lineage],"="&amp;Table15[[#This Row],[Lineage]],Table1[Gen],"="&amp;Table15[[#This Row],[Gen]])/COUNTIFS(Table1[Lineage],"="&amp;Table15[[#This Row],[Lineage]],Table1[Gen],"="&amp;Table15[[#This Row],[Gen]])</f>
        <v>48756.5</v>
      </c>
      <c r="G64" t="s">
        <v>12</v>
      </c>
      <c r="H64">
        <f>IFERROR(VALUE(VLOOKUP(Table15[[#This Row],[ID]],Skills!A:D,4,FALSE)),0)</f>
        <v>0</v>
      </c>
      <c r="I64" t="b">
        <v>0</v>
      </c>
    </row>
    <row r="65" spans="1:9" x14ac:dyDescent="0.25">
      <c r="A65" t="str">
        <f>Table15[[#This Row],[Lineage]]&amp;"-"&amp;Table15[[#This Row],[Gen]]</f>
        <v>9-14</v>
      </c>
      <c r="B65">
        <v>9</v>
      </c>
      <c r="C65">
        <v>14</v>
      </c>
      <c r="D65" t="s">
        <v>8</v>
      </c>
      <c r="E65" t="s">
        <v>9</v>
      </c>
      <c r="F65">
        <f>SUMIFS(Table1[Survival],Table1[Lineage],"="&amp;Table15[[#This Row],[Lineage]],Table1[Gen],"="&amp;Table15[[#This Row],[Gen]])/COUNTIFS(Table1[Lineage],"="&amp;Table15[[#This Row],[Lineage]],Table1[Gen],"="&amp;Table15[[#This Row],[Gen]])</f>
        <v>54339.5</v>
      </c>
      <c r="G65" t="s">
        <v>12</v>
      </c>
      <c r="H65">
        <f>IFERROR(VALUE(VLOOKUP(Table15[[#This Row],[ID]],Skills!A:D,4,FALSE)),0)</f>
        <v>0</v>
      </c>
      <c r="I65" t="b">
        <v>0</v>
      </c>
    </row>
    <row r="66" spans="1:9" x14ac:dyDescent="0.25">
      <c r="A66" t="str">
        <f>Table15[[#This Row],[Lineage]]&amp;"-"&amp;Table15[[#This Row],[Gen]]</f>
        <v>9-15</v>
      </c>
      <c r="B66">
        <v>9</v>
      </c>
      <c r="C66">
        <v>15</v>
      </c>
      <c r="D66" t="s">
        <v>8</v>
      </c>
      <c r="E66" t="s">
        <v>9</v>
      </c>
      <c r="F66">
        <f>SUMIFS(Table1[Survival],Table1[Lineage],"="&amp;Table15[[#This Row],[Lineage]],Table1[Gen],"="&amp;Table15[[#This Row],[Gen]])/COUNTIFS(Table1[Lineage],"="&amp;Table15[[#This Row],[Lineage]],Table1[Gen],"="&amp;Table15[[#This Row],[Gen]])</f>
        <v>70490</v>
      </c>
      <c r="G66" t="s">
        <v>12</v>
      </c>
      <c r="H66">
        <f>IFERROR(VALUE(VLOOKUP(Table15[[#This Row],[ID]],Skills!A:D,4,FALSE)),0)</f>
        <v>0</v>
      </c>
      <c r="I66" t="b">
        <v>0</v>
      </c>
    </row>
    <row r="67" spans="1:9" x14ac:dyDescent="0.25">
      <c r="A67" t="str">
        <f>Table15[[#This Row],[Lineage]]&amp;"-"&amp;Table15[[#This Row],[Gen]]</f>
        <v>9-16</v>
      </c>
      <c r="B67">
        <v>9</v>
      </c>
      <c r="C67">
        <v>16</v>
      </c>
      <c r="D67" t="s">
        <v>8</v>
      </c>
      <c r="E67" t="s">
        <v>9</v>
      </c>
      <c r="F67">
        <f>SUMIFS(Table1[Survival],Table1[Lineage],"="&amp;Table15[[#This Row],[Lineage]],Table1[Gen],"="&amp;Table15[[#This Row],[Gen]])/COUNTIFS(Table1[Lineage],"="&amp;Table15[[#This Row],[Lineage]],Table1[Gen],"="&amp;Table15[[#This Row],[Gen]])</f>
        <v>51001</v>
      </c>
      <c r="G67" t="s">
        <v>12</v>
      </c>
      <c r="H67">
        <f>IFERROR(VALUE(VLOOKUP(Table15[[#This Row],[ID]],Skills!A:D,4,FALSE)),0)</f>
        <v>1</v>
      </c>
      <c r="I67" t="b">
        <v>0</v>
      </c>
    </row>
    <row r="68" spans="1:9" x14ac:dyDescent="0.25">
      <c r="A68" t="str">
        <f>Table15[[#This Row],[Lineage]]&amp;"-"&amp;Table15[[#This Row],[Gen]]</f>
        <v>9-17</v>
      </c>
      <c r="B68">
        <v>9</v>
      </c>
      <c r="C68">
        <v>17</v>
      </c>
      <c r="D68" t="s">
        <v>8</v>
      </c>
      <c r="E68" t="s">
        <v>9</v>
      </c>
      <c r="F68">
        <f>SUMIFS(Table1[Survival],Table1[Lineage],"="&amp;Table15[[#This Row],[Lineage]],Table1[Gen],"="&amp;Table15[[#This Row],[Gen]])/COUNTIFS(Table1[Lineage],"="&amp;Table15[[#This Row],[Lineage]],Table1[Gen],"="&amp;Table15[[#This Row],[Gen]])</f>
        <v>72571.5</v>
      </c>
      <c r="G68" t="s">
        <v>12</v>
      </c>
      <c r="H68">
        <f>IFERROR(VALUE(VLOOKUP(Table15[[#This Row],[ID]],Skills!A:D,4,FALSE)),0)</f>
        <v>0</v>
      </c>
      <c r="I68" t="b">
        <v>0</v>
      </c>
    </row>
    <row r="69" spans="1:9" x14ac:dyDescent="0.25">
      <c r="A69" t="str">
        <f>Table15[[#This Row],[Lineage]]&amp;"-"&amp;Table15[[#This Row],[Gen]]</f>
        <v>9-18</v>
      </c>
      <c r="B69">
        <v>9</v>
      </c>
      <c r="C69">
        <v>18</v>
      </c>
      <c r="D69" t="s">
        <v>8</v>
      </c>
      <c r="E69" t="s">
        <v>9</v>
      </c>
      <c r="F69">
        <f>SUMIFS(Table1[Survival],Table1[Lineage],"="&amp;Table15[[#This Row],[Lineage]],Table1[Gen],"="&amp;Table15[[#This Row],[Gen]])/COUNTIFS(Table1[Lineage],"="&amp;Table15[[#This Row],[Lineage]],Table1[Gen],"="&amp;Table15[[#This Row],[Gen]])</f>
        <v>70956.5</v>
      </c>
      <c r="G69" t="s">
        <v>12</v>
      </c>
      <c r="H69">
        <f>IFERROR(VALUE(VLOOKUP(Table15[[#This Row],[ID]],Skills!A:D,4,FALSE)),0)</f>
        <v>0</v>
      </c>
      <c r="I69" t="b">
        <v>0</v>
      </c>
    </row>
    <row r="70" spans="1:9" x14ac:dyDescent="0.25">
      <c r="A70" t="str">
        <f>Table15[[#This Row],[Lineage]]&amp;"-"&amp;Table15[[#This Row],[Gen]]</f>
        <v>9-19</v>
      </c>
      <c r="B70">
        <v>9</v>
      </c>
      <c r="C70">
        <v>19</v>
      </c>
      <c r="D70" t="s">
        <v>8</v>
      </c>
      <c r="E70" t="s">
        <v>9</v>
      </c>
      <c r="F70">
        <f>SUMIFS(Table1[Survival],Table1[Lineage],"="&amp;Table15[[#This Row],[Lineage]],Table1[Gen],"="&amp;Table15[[#This Row],[Gen]])/COUNTIFS(Table1[Lineage],"="&amp;Table15[[#This Row],[Lineage]],Table1[Gen],"="&amp;Table15[[#This Row],[Gen]])</f>
        <v>49501</v>
      </c>
      <c r="G70" t="s">
        <v>12</v>
      </c>
      <c r="H70">
        <f>IFERROR(VALUE(VLOOKUP(Table15[[#This Row],[ID]],Skills!A:D,4,FALSE)),0)</f>
        <v>0</v>
      </c>
      <c r="I70" t="b">
        <v>0</v>
      </c>
    </row>
    <row r="71" spans="1:9" x14ac:dyDescent="0.25">
      <c r="A71" t="str">
        <f>Table15[[#This Row],[Lineage]]&amp;"-"&amp;Table15[[#This Row],[Gen]]</f>
        <v>9-20</v>
      </c>
      <c r="B71">
        <v>9</v>
      </c>
      <c r="C71">
        <v>20</v>
      </c>
      <c r="D71" t="s">
        <v>8</v>
      </c>
      <c r="E71" t="s">
        <v>9</v>
      </c>
      <c r="F71">
        <f>SUMIFS(Table1[Survival],Table1[Lineage],"="&amp;Table15[[#This Row],[Lineage]],Table1[Gen],"="&amp;Table15[[#This Row],[Gen]])/COUNTIFS(Table1[Lineage],"="&amp;Table15[[#This Row],[Lineage]],Table1[Gen],"="&amp;Table15[[#This Row],[Gen]])</f>
        <v>71868</v>
      </c>
      <c r="G71" t="s">
        <v>12</v>
      </c>
      <c r="H71">
        <f>IFERROR(VALUE(VLOOKUP(Table15[[#This Row],[ID]],Skills!A:D,4,FALSE)),0)</f>
        <v>1</v>
      </c>
      <c r="I71" t="b">
        <v>0</v>
      </c>
    </row>
    <row r="72" spans="1:9" x14ac:dyDescent="0.25">
      <c r="A72" t="str">
        <f>Table15[[#This Row],[Lineage]]&amp;"-"&amp;Table15[[#This Row],[Gen]]</f>
        <v>10-1</v>
      </c>
      <c r="B72">
        <v>10</v>
      </c>
      <c r="C72">
        <v>1</v>
      </c>
      <c r="D72" t="s">
        <v>8</v>
      </c>
      <c r="E72" t="s">
        <v>9</v>
      </c>
      <c r="F72">
        <f>SUMIFS(Table1[Survival],Table1[Lineage],"="&amp;Table15[[#This Row],[Lineage]],Table1[Gen],"="&amp;Table15[[#This Row],[Gen]])/COUNTIFS(Table1[Lineage],"="&amp;Table15[[#This Row],[Lineage]],Table1[Gen],"="&amp;Table15[[#This Row],[Gen]])</f>
        <v>69478</v>
      </c>
      <c r="G72" t="s">
        <v>13</v>
      </c>
      <c r="H72">
        <f>IFERROR(VALUE(VLOOKUP(Table15[[#This Row],[ID]],Skills!A:D,4,FALSE)),0)</f>
        <v>5</v>
      </c>
      <c r="I72" t="b">
        <v>0</v>
      </c>
    </row>
    <row r="73" spans="1:9" x14ac:dyDescent="0.25">
      <c r="A73" t="str">
        <f>Table15[[#This Row],[Lineage]]&amp;"-"&amp;Table15[[#This Row],[Gen]]</f>
        <v>10-2</v>
      </c>
      <c r="B73">
        <v>10</v>
      </c>
      <c r="C73">
        <v>2</v>
      </c>
      <c r="D73" t="s">
        <v>8</v>
      </c>
      <c r="E73" t="s">
        <v>9</v>
      </c>
      <c r="F73">
        <f>SUMIFS(Table1[Survival],Table1[Lineage],"="&amp;Table15[[#This Row],[Lineage]],Table1[Gen],"="&amp;Table15[[#This Row],[Gen]])/COUNTIFS(Table1[Lineage],"="&amp;Table15[[#This Row],[Lineage]],Table1[Gen],"="&amp;Table15[[#This Row],[Gen]])</f>
        <v>133751.5</v>
      </c>
      <c r="G73" t="s">
        <v>13</v>
      </c>
      <c r="H73">
        <f>IFERROR(VALUE(VLOOKUP(Table15[[#This Row],[ID]],Skills!A:D,4,FALSE)),0)</f>
        <v>3</v>
      </c>
      <c r="I73" t="b">
        <v>0</v>
      </c>
    </row>
    <row r="74" spans="1:9" x14ac:dyDescent="0.25">
      <c r="A74" t="str">
        <f>Table15[[#This Row],[Lineage]]&amp;"-"&amp;Table15[[#This Row],[Gen]]</f>
        <v>10-3</v>
      </c>
      <c r="B74">
        <v>10</v>
      </c>
      <c r="C74">
        <v>3</v>
      </c>
      <c r="D74" t="s">
        <v>8</v>
      </c>
      <c r="E74" t="s">
        <v>9</v>
      </c>
      <c r="F74">
        <f>SUMIFS(Table1[Survival],Table1[Lineage],"="&amp;Table15[[#This Row],[Lineage]],Table1[Gen],"="&amp;Table15[[#This Row],[Gen]])/COUNTIFS(Table1[Lineage],"="&amp;Table15[[#This Row],[Lineage]],Table1[Gen],"="&amp;Table15[[#This Row],[Gen]])</f>
        <v>89573.5</v>
      </c>
      <c r="G74" t="s">
        <v>13</v>
      </c>
      <c r="H74">
        <f>IFERROR(VALUE(VLOOKUP(Table15[[#This Row],[ID]],Skills!A:D,4,FALSE)),0)</f>
        <v>2</v>
      </c>
      <c r="I74" t="b">
        <v>0</v>
      </c>
    </row>
    <row r="75" spans="1:9" x14ac:dyDescent="0.25">
      <c r="A75" t="str">
        <f>Table15[[#This Row],[Lineage]]&amp;"-"&amp;Table15[[#This Row],[Gen]]</f>
        <v>10-4</v>
      </c>
      <c r="B75">
        <v>10</v>
      </c>
      <c r="C75">
        <v>4</v>
      </c>
      <c r="D75" t="s">
        <v>8</v>
      </c>
      <c r="E75" t="s">
        <v>9</v>
      </c>
      <c r="F75">
        <f>SUMIFS(Table1[Survival],Table1[Lineage],"="&amp;Table15[[#This Row],[Lineage]],Table1[Gen],"="&amp;Table15[[#This Row],[Gen]])/COUNTIFS(Table1[Lineage],"="&amp;Table15[[#This Row],[Lineage]],Table1[Gen],"="&amp;Table15[[#This Row],[Gen]])</f>
        <v>119157.5</v>
      </c>
      <c r="G75" t="s">
        <v>13</v>
      </c>
      <c r="H75">
        <f>IFERROR(VALUE(VLOOKUP(Table15[[#This Row],[ID]],Skills!A:D,4,FALSE)),0)</f>
        <v>1</v>
      </c>
      <c r="I75" t="b">
        <v>0</v>
      </c>
    </row>
    <row r="76" spans="1:9" x14ac:dyDescent="0.25">
      <c r="A76" t="str">
        <f>Table15[[#This Row],[Lineage]]&amp;"-"&amp;Table15[[#This Row],[Gen]]</f>
        <v>10-5</v>
      </c>
      <c r="B76">
        <v>10</v>
      </c>
      <c r="C76">
        <v>5</v>
      </c>
      <c r="D76" t="s">
        <v>8</v>
      </c>
      <c r="E76" t="s">
        <v>9</v>
      </c>
      <c r="F76">
        <f>SUMIFS(Table1[Survival],Table1[Lineage],"="&amp;Table15[[#This Row],[Lineage]],Table1[Gen],"="&amp;Table15[[#This Row],[Gen]])/COUNTIFS(Table1[Lineage],"="&amp;Table15[[#This Row],[Lineage]],Table1[Gen],"="&amp;Table15[[#This Row],[Gen]])</f>
        <v>122113</v>
      </c>
      <c r="G76" t="s">
        <v>13</v>
      </c>
      <c r="H76">
        <f>IFERROR(VALUE(VLOOKUP(Table15[[#This Row],[ID]],Skills!A:D,4,FALSE)),0)</f>
        <v>0</v>
      </c>
      <c r="I76" t="b">
        <v>0</v>
      </c>
    </row>
    <row r="77" spans="1:9" x14ac:dyDescent="0.25">
      <c r="A77" t="str">
        <f>Table15[[#This Row],[Lineage]]&amp;"-"&amp;Table15[[#This Row],[Gen]]</f>
        <v>10-6</v>
      </c>
      <c r="B77">
        <v>10</v>
      </c>
      <c r="C77">
        <v>6</v>
      </c>
      <c r="D77" t="s">
        <v>8</v>
      </c>
      <c r="E77" t="s">
        <v>9</v>
      </c>
      <c r="F77">
        <f>SUMIFS(Table1[Survival],Table1[Lineage],"="&amp;Table15[[#This Row],[Lineage]],Table1[Gen],"="&amp;Table15[[#This Row],[Gen]])/COUNTIFS(Table1[Lineage],"="&amp;Table15[[#This Row],[Lineage]],Table1[Gen],"="&amp;Table15[[#This Row],[Gen]])</f>
        <v>133059</v>
      </c>
      <c r="G77" t="s">
        <v>13</v>
      </c>
      <c r="H77">
        <f>IFERROR(VALUE(VLOOKUP(Table15[[#This Row],[ID]],Skills!A:D,4,FALSE)),0)</f>
        <v>1</v>
      </c>
      <c r="I77" t="b">
        <v>0</v>
      </c>
    </row>
    <row r="78" spans="1:9" x14ac:dyDescent="0.25">
      <c r="A78" t="str">
        <f>Table15[[#This Row],[Lineage]]&amp;"-"&amp;Table15[[#This Row],[Gen]]</f>
        <v>10-7</v>
      </c>
      <c r="B78">
        <v>10</v>
      </c>
      <c r="C78">
        <v>7</v>
      </c>
      <c r="D78" t="s">
        <v>8</v>
      </c>
      <c r="E78" t="s">
        <v>9</v>
      </c>
      <c r="F78">
        <f>SUMIFS(Table1[Survival],Table1[Lineage],"="&amp;Table15[[#This Row],[Lineage]],Table1[Gen],"="&amp;Table15[[#This Row],[Gen]])/COUNTIFS(Table1[Lineage],"="&amp;Table15[[#This Row],[Lineage]],Table1[Gen],"="&amp;Table15[[#This Row],[Gen]])</f>
        <v>83440</v>
      </c>
      <c r="G78" t="s">
        <v>13</v>
      </c>
      <c r="H78">
        <f>IFERROR(VALUE(VLOOKUP(Table15[[#This Row],[ID]],Skills!A:D,4,FALSE)),0)</f>
        <v>1</v>
      </c>
      <c r="I78" t="b">
        <v>0</v>
      </c>
    </row>
    <row r="79" spans="1:9" x14ac:dyDescent="0.25">
      <c r="A79" t="str">
        <f>Table15[[#This Row],[Lineage]]&amp;"-"&amp;Table15[[#This Row],[Gen]]</f>
        <v>10-8</v>
      </c>
      <c r="B79">
        <v>10</v>
      </c>
      <c r="C79">
        <v>8</v>
      </c>
      <c r="D79" t="s">
        <v>8</v>
      </c>
      <c r="E79" t="s">
        <v>9</v>
      </c>
      <c r="F79">
        <f>SUMIFS(Table1[Survival],Table1[Lineage],"="&amp;Table15[[#This Row],[Lineage]],Table1[Gen],"="&amp;Table15[[#This Row],[Gen]])/COUNTIFS(Table1[Lineage],"="&amp;Table15[[#This Row],[Lineage]],Table1[Gen],"="&amp;Table15[[#This Row],[Gen]])</f>
        <v>91129</v>
      </c>
      <c r="G79" t="s">
        <v>13</v>
      </c>
      <c r="H79">
        <f>IFERROR(VALUE(VLOOKUP(Table15[[#This Row],[ID]],Skills!A:D,4,FALSE)),0)</f>
        <v>1</v>
      </c>
      <c r="I79" t="b">
        <v>0</v>
      </c>
    </row>
    <row r="80" spans="1:9" x14ac:dyDescent="0.25">
      <c r="A80" t="str">
        <f>Table15[[#This Row],[Lineage]]&amp;"-"&amp;Table15[[#This Row],[Gen]]</f>
        <v>10-9</v>
      </c>
      <c r="B80">
        <v>10</v>
      </c>
      <c r="C80">
        <v>9</v>
      </c>
      <c r="D80" t="s">
        <v>8</v>
      </c>
      <c r="E80" t="s">
        <v>9</v>
      </c>
      <c r="F80">
        <f>SUMIFS(Table1[Survival],Table1[Lineage],"="&amp;Table15[[#This Row],[Lineage]],Table1[Gen],"="&amp;Table15[[#This Row],[Gen]])/COUNTIFS(Table1[Lineage],"="&amp;Table15[[#This Row],[Lineage]],Table1[Gen],"="&amp;Table15[[#This Row],[Gen]])</f>
        <v>74934.5</v>
      </c>
      <c r="G80" t="s">
        <v>13</v>
      </c>
      <c r="H80">
        <f>IFERROR(VALUE(VLOOKUP(Table15[[#This Row],[ID]],Skills!A:D,4,FALSE)),0)</f>
        <v>1</v>
      </c>
      <c r="I80" t="b">
        <v>0</v>
      </c>
    </row>
    <row r="81" spans="1:9" x14ac:dyDescent="0.25">
      <c r="A81" t="str">
        <f>Table15[[#This Row],[Lineage]]&amp;"-"&amp;Table15[[#This Row],[Gen]]</f>
        <v>10-10</v>
      </c>
      <c r="B81">
        <v>10</v>
      </c>
      <c r="C81">
        <v>10</v>
      </c>
      <c r="D81" t="s">
        <v>8</v>
      </c>
      <c r="E81" t="s">
        <v>9</v>
      </c>
      <c r="F81">
        <f>SUMIFS(Table1[Survival],Table1[Lineage],"="&amp;Table15[[#This Row],[Lineage]],Table1[Gen],"="&amp;Table15[[#This Row],[Gen]])/COUNTIFS(Table1[Lineage],"="&amp;Table15[[#This Row],[Lineage]],Table1[Gen],"="&amp;Table15[[#This Row],[Gen]])</f>
        <v>91602.5</v>
      </c>
      <c r="G81" t="s">
        <v>13</v>
      </c>
      <c r="H81">
        <f>IFERROR(VALUE(VLOOKUP(Table15[[#This Row],[ID]],Skills!A:D,4,FALSE)),0)</f>
        <v>1</v>
      </c>
      <c r="I81" t="b">
        <v>0</v>
      </c>
    </row>
    <row r="82" spans="1:9" x14ac:dyDescent="0.25">
      <c r="A82" t="str">
        <f>Table15[[#This Row],[Lineage]]&amp;"-"&amp;Table15[[#This Row],[Gen]]</f>
        <v>10-11</v>
      </c>
      <c r="B82">
        <v>10</v>
      </c>
      <c r="C82">
        <v>11</v>
      </c>
      <c r="D82" t="s">
        <v>8</v>
      </c>
      <c r="E82" t="s">
        <v>9</v>
      </c>
      <c r="F82">
        <f>SUMIFS(Table1[Survival],Table1[Lineage],"="&amp;Table15[[#This Row],[Lineage]],Table1[Gen],"="&amp;Table15[[#This Row],[Gen]])/COUNTIFS(Table1[Lineage],"="&amp;Table15[[#This Row],[Lineage]],Table1[Gen],"="&amp;Table15[[#This Row],[Gen]])</f>
        <v>115748.5</v>
      </c>
      <c r="G82" t="s">
        <v>13</v>
      </c>
      <c r="H82">
        <f>IFERROR(VALUE(VLOOKUP(Table15[[#This Row],[ID]],Skills!A:D,4,FALSE)),0)</f>
        <v>0</v>
      </c>
      <c r="I82" t="b">
        <v>0</v>
      </c>
    </row>
    <row r="83" spans="1:9" x14ac:dyDescent="0.25">
      <c r="A83" t="str">
        <f>Table15[[#This Row],[Lineage]]&amp;"-"&amp;Table15[[#This Row],[Gen]]</f>
        <v>10-12</v>
      </c>
      <c r="B83">
        <v>10</v>
      </c>
      <c r="C83">
        <v>12</v>
      </c>
      <c r="D83" t="s">
        <v>8</v>
      </c>
      <c r="E83" t="s">
        <v>9</v>
      </c>
      <c r="F83">
        <f>SUMIFS(Table1[Survival],Table1[Lineage],"="&amp;Table15[[#This Row],[Lineage]],Table1[Gen],"="&amp;Table15[[#This Row],[Gen]])/COUNTIFS(Table1[Lineage],"="&amp;Table15[[#This Row],[Lineage]],Table1[Gen],"="&amp;Table15[[#This Row],[Gen]])</f>
        <v>107437.5</v>
      </c>
      <c r="G83" t="s">
        <v>13</v>
      </c>
      <c r="H83">
        <f>IFERROR(VALUE(VLOOKUP(Table15[[#This Row],[ID]],Skills!A:D,4,FALSE)),0)</f>
        <v>0</v>
      </c>
      <c r="I83" t="b">
        <v>0</v>
      </c>
    </row>
    <row r="84" spans="1:9" x14ac:dyDescent="0.25">
      <c r="A84" t="str">
        <f>Table15[[#This Row],[Lineage]]&amp;"-"&amp;Table15[[#This Row],[Gen]]</f>
        <v>10-13</v>
      </c>
      <c r="B84">
        <v>10</v>
      </c>
      <c r="C84">
        <v>13</v>
      </c>
      <c r="D84" t="s">
        <v>8</v>
      </c>
      <c r="E84" t="s">
        <v>9</v>
      </c>
      <c r="F84">
        <f>SUMIFS(Table1[Survival],Table1[Lineage],"="&amp;Table15[[#This Row],[Lineage]],Table1[Gen],"="&amp;Table15[[#This Row],[Gen]])/COUNTIFS(Table1[Lineage],"="&amp;Table15[[#This Row],[Lineage]],Table1[Gen],"="&amp;Table15[[#This Row],[Gen]])</f>
        <v>93359</v>
      </c>
      <c r="G84" t="s">
        <v>13</v>
      </c>
      <c r="H84">
        <f>IFERROR(VALUE(VLOOKUP(Table15[[#This Row],[ID]],Skills!A:D,4,FALSE)),0)</f>
        <v>0</v>
      </c>
      <c r="I84" t="b">
        <v>0</v>
      </c>
    </row>
    <row r="85" spans="1:9" x14ac:dyDescent="0.25">
      <c r="A85" t="str">
        <f>Table15[[#This Row],[Lineage]]&amp;"-"&amp;Table15[[#This Row],[Gen]]</f>
        <v>10-14</v>
      </c>
      <c r="B85">
        <v>10</v>
      </c>
      <c r="C85">
        <v>14</v>
      </c>
      <c r="D85" t="s">
        <v>8</v>
      </c>
      <c r="E85" t="s">
        <v>9</v>
      </c>
      <c r="F85">
        <f>SUMIFS(Table1[Survival],Table1[Lineage],"="&amp;Table15[[#This Row],[Lineage]],Table1[Gen],"="&amp;Table15[[#This Row],[Gen]])/COUNTIFS(Table1[Lineage],"="&amp;Table15[[#This Row],[Lineage]],Table1[Gen],"="&amp;Table15[[#This Row],[Gen]])</f>
        <v>85481</v>
      </c>
      <c r="G85" t="s">
        <v>13</v>
      </c>
      <c r="H85">
        <f>IFERROR(VALUE(VLOOKUP(Table15[[#This Row],[ID]],Skills!A:D,4,FALSE)),0)</f>
        <v>1</v>
      </c>
      <c r="I85" t="b">
        <v>0</v>
      </c>
    </row>
    <row r="86" spans="1:9" x14ac:dyDescent="0.25">
      <c r="A86" t="str">
        <f>Table15[[#This Row],[Lineage]]&amp;"-"&amp;Table15[[#This Row],[Gen]]</f>
        <v>10-15</v>
      </c>
      <c r="B86">
        <v>10</v>
      </c>
      <c r="C86">
        <v>15</v>
      </c>
      <c r="D86" t="s">
        <v>8</v>
      </c>
      <c r="E86" t="s">
        <v>9</v>
      </c>
      <c r="F86">
        <f>SUMIFS(Table1[Survival],Table1[Lineage],"="&amp;Table15[[#This Row],[Lineage]],Table1[Gen],"="&amp;Table15[[#This Row],[Gen]])/COUNTIFS(Table1[Lineage],"="&amp;Table15[[#This Row],[Lineage]],Table1[Gen],"="&amp;Table15[[#This Row],[Gen]])</f>
        <v>79633.5</v>
      </c>
      <c r="G86" t="s">
        <v>13</v>
      </c>
      <c r="H86">
        <f>IFERROR(VALUE(VLOOKUP(Table15[[#This Row],[ID]],Skills!A:D,4,FALSE)),0)</f>
        <v>0</v>
      </c>
      <c r="I86" t="b">
        <v>0</v>
      </c>
    </row>
    <row r="87" spans="1:9" x14ac:dyDescent="0.25">
      <c r="A87" t="str">
        <f>Table15[[#This Row],[Lineage]]&amp;"-"&amp;Table15[[#This Row],[Gen]]</f>
        <v>10-16</v>
      </c>
      <c r="B87">
        <v>10</v>
      </c>
      <c r="C87">
        <v>16</v>
      </c>
      <c r="D87" t="s">
        <v>8</v>
      </c>
      <c r="E87" t="s">
        <v>9</v>
      </c>
      <c r="F87">
        <f>SUMIFS(Table1[Survival],Table1[Lineage],"="&amp;Table15[[#This Row],[Lineage]],Table1[Gen],"="&amp;Table15[[#This Row],[Gen]])/COUNTIFS(Table1[Lineage],"="&amp;Table15[[#This Row],[Lineage]],Table1[Gen],"="&amp;Table15[[#This Row],[Gen]])</f>
        <v>85715</v>
      </c>
      <c r="G87" t="s">
        <v>13</v>
      </c>
      <c r="H87">
        <f>IFERROR(VALUE(VLOOKUP(Table15[[#This Row],[ID]],Skills!A:D,4,FALSE)),0)</f>
        <v>2</v>
      </c>
      <c r="I87" t="b">
        <v>0</v>
      </c>
    </row>
    <row r="88" spans="1:9" x14ac:dyDescent="0.25">
      <c r="A88" t="str">
        <f>Table15[[#This Row],[Lineage]]&amp;"-"&amp;Table15[[#This Row],[Gen]]</f>
        <v>10-17</v>
      </c>
      <c r="B88">
        <v>10</v>
      </c>
      <c r="C88">
        <v>17</v>
      </c>
      <c r="D88" t="s">
        <v>8</v>
      </c>
      <c r="E88" t="s">
        <v>9</v>
      </c>
      <c r="F88">
        <f>SUMIFS(Table1[Survival],Table1[Lineage],"="&amp;Table15[[#This Row],[Lineage]],Table1[Gen],"="&amp;Table15[[#This Row],[Gen]])/COUNTIFS(Table1[Lineage],"="&amp;Table15[[#This Row],[Lineage]],Table1[Gen],"="&amp;Table15[[#This Row],[Gen]])</f>
        <v>82707.5</v>
      </c>
      <c r="G88" t="s">
        <v>13</v>
      </c>
      <c r="H88">
        <f>IFERROR(VALUE(VLOOKUP(Table15[[#This Row],[ID]],Skills!A:D,4,FALSE)),0)</f>
        <v>2</v>
      </c>
      <c r="I88" t="b">
        <v>0</v>
      </c>
    </row>
    <row r="89" spans="1:9" x14ac:dyDescent="0.25">
      <c r="A89" t="str">
        <f>Table15[[#This Row],[Lineage]]&amp;"-"&amp;Table15[[#This Row],[Gen]]</f>
        <v>10-18</v>
      </c>
      <c r="B89">
        <v>10</v>
      </c>
      <c r="C89">
        <v>18</v>
      </c>
      <c r="D89" t="s">
        <v>8</v>
      </c>
      <c r="E89" t="s">
        <v>9</v>
      </c>
      <c r="F89">
        <f>SUMIFS(Table1[Survival],Table1[Lineage],"="&amp;Table15[[#This Row],[Lineage]],Table1[Gen],"="&amp;Table15[[#This Row],[Gen]])/COUNTIFS(Table1[Lineage],"="&amp;Table15[[#This Row],[Lineage]],Table1[Gen],"="&amp;Table15[[#This Row],[Gen]])</f>
        <v>96893.5</v>
      </c>
      <c r="G89" t="s">
        <v>13</v>
      </c>
      <c r="H89">
        <f>IFERROR(VALUE(VLOOKUP(Table15[[#This Row],[ID]],Skills!A:D,4,FALSE)),0)</f>
        <v>0</v>
      </c>
      <c r="I89" t="b">
        <v>0</v>
      </c>
    </row>
    <row r="90" spans="1:9" x14ac:dyDescent="0.25">
      <c r="A90" t="str">
        <f>Table15[[#This Row],[Lineage]]&amp;"-"&amp;Table15[[#This Row],[Gen]]</f>
        <v>10-19</v>
      </c>
      <c r="B90">
        <v>10</v>
      </c>
      <c r="C90">
        <v>19</v>
      </c>
      <c r="D90" t="s">
        <v>8</v>
      </c>
      <c r="E90" t="s">
        <v>9</v>
      </c>
      <c r="F90">
        <f>SUMIFS(Table1[Survival],Table1[Lineage],"="&amp;Table15[[#This Row],[Lineage]],Table1[Gen],"="&amp;Table15[[#This Row],[Gen]])/COUNTIFS(Table1[Lineage],"="&amp;Table15[[#This Row],[Lineage]],Table1[Gen],"="&amp;Table15[[#This Row],[Gen]])</f>
        <v>74881</v>
      </c>
      <c r="G90" t="s">
        <v>13</v>
      </c>
      <c r="H90">
        <f>IFERROR(VALUE(VLOOKUP(Table15[[#This Row],[ID]],Skills!A:D,4,FALSE)),0)</f>
        <v>1</v>
      </c>
      <c r="I90" t="b">
        <v>0</v>
      </c>
    </row>
    <row r="91" spans="1:9" x14ac:dyDescent="0.25">
      <c r="A91" t="str">
        <f>Table15[[#This Row],[Lineage]]&amp;"-"&amp;Table15[[#This Row],[Gen]]</f>
        <v>10-20</v>
      </c>
      <c r="B91">
        <v>10</v>
      </c>
      <c r="C91">
        <v>20</v>
      </c>
      <c r="D91" t="s">
        <v>8</v>
      </c>
      <c r="E91" t="s">
        <v>9</v>
      </c>
      <c r="F91">
        <f>SUMIFS(Table1[Survival],Table1[Lineage],"="&amp;Table15[[#This Row],[Lineage]],Table1[Gen],"="&amp;Table15[[#This Row],[Gen]])/COUNTIFS(Table1[Lineage],"="&amp;Table15[[#This Row],[Lineage]],Table1[Gen],"="&amp;Table15[[#This Row],[Gen]])</f>
        <v>69055.5</v>
      </c>
      <c r="G91" t="s">
        <v>13</v>
      </c>
      <c r="H91">
        <f>IFERROR(VALUE(VLOOKUP(Table15[[#This Row],[ID]],Skills!A:D,4,FALSE)),0)</f>
        <v>1</v>
      </c>
      <c r="I91" t="b">
        <v>0</v>
      </c>
    </row>
    <row r="92" spans="1:9" x14ac:dyDescent="0.25">
      <c r="A92" t="str">
        <f>Table15[[#This Row],[Lineage]]&amp;"-"&amp;Table15[[#This Row],[Gen]]</f>
        <v>11-1</v>
      </c>
      <c r="B92">
        <v>11</v>
      </c>
      <c r="C92">
        <v>1</v>
      </c>
      <c r="D92" t="s">
        <v>4</v>
      </c>
      <c r="E92" t="s">
        <v>9</v>
      </c>
      <c r="F92">
        <f>SUMIFS(Table1[Survival],Table1[Lineage],"="&amp;Table15[[#This Row],[Lineage]],Table1[Gen],"="&amp;Table15[[#This Row],[Gen]])/COUNTIFS(Table1[Lineage],"="&amp;Table15[[#This Row],[Lineage]],Table1[Gen],"="&amp;Table15[[#This Row],[Gen]])</f>
        <v>110138</v>
      </c>
      <c r="G92" t="s">
        <v>15</v>
      </c>
      <c r="H92">
        <f>IFERROR(VALUE(VLOOKUP(Table15[[#This Row],[ID]],Skills!A:D,4,FALSE)),0)</f>
        <v>0</v>
      </c>
      <c r="I92" t="b">
        <v>1</v>
      </c>
    </row>
    <row r="93" spans="1:9" x14ac:dyDescent="0.25">
      <c r="A93" t="str">
        <f>Table15[[#This Row],[Lineage]]&amp;"-"&amp;Table15[[#This Row],[Gen]]</f>
        <v>11-2</v>
      </c>
      <c r="B93">
        <v>11</v>
      </c>
      <c r="C93">
        <v>2</v>
      </c>
      <c r="D93" t="s">
        <v>4</v>
      </c>
      <c r="E93" t="s">
        <v>9</v>
      </c>
      <c r="F93">
        <f>SUMIFS(Table1[Survival],Table1[Lineage],"="&amp;Table15[[#This Row],[Lineage]],Table1[Gen],"="&amp;Table15[[#This Row],[Gen]])/COUNTIFS(Table1[Lineage],"="&amp;Table15[[#This Row],[Lineage]],Table1[Gen],"="&amp;Table15[[#This Row],[Gen]])</f>
        <v>62449.5</v>
      </c>
      <c r="G93" t="s">
        <v>15</v>
      </c>
      <c r="H93">
        <f>IFERROR(VALUE(VLOOKUP(Table15[[#This Row],[ID]],Skills!A:D,4,FALSE)),0)</f>
        <v>0</v>
      </c>
      <c r="I93" t="b">
        <v>1</v>
      </c>
    </row>
    <row r="94" spans="1:9" x14ac:dyDescent="0.25">
      <c r="A94" t="str">
        <f>Table15[[#This Row],[Lineage]]&amp;"-"&amp;Table15[[#This Row],[Gen]]</f>
        <v>11-3</v>
      </c>
      <c r="B94">
        <v>11</v>
      </c>
      <c r="C94">
        <v>3</v>
      </c>
      <c r="D94" t="s">
        <v>4</v>
      </c>
      <c r="E94" t="s">
        <v>9</v>
      </c>
      <c r="F94">
        <f>SUMIFS(Table1[Survival],Table1[Lineage],"="&amp;Table15[[#This Row],[Lineage]],Table1[Gen],"="&amp;Table15[[#This Row],[Gen]])/COUNTIFS(Table1[Lineage],"="&amp;Table15[[#This Row],[Lineage]],Table1[Gen],"="&amp;Table15[[#This Row],[Gen]])</f>
        <v>76096.5</v>
      </c>
      <c r="G94" t="s">
        <v>15</v>
      </c>
      <c r="H94">
        <f>IFERROR(VALUE(VLOOKUP(Table15[[#This Row],[ID]],Skills!A:D,4,FALSE)),0)</f>
        <v>0</v>
      </c>
      <c r="I94" t="b">
        <v>1</v>
      </c>
    </row>
    <row r="95" spans="1:9" x14ac:dyDescent="0.25">
      <c r="A95" t="str">
        <f>Table15[[#This Row],[Lineage]]&amp;"-"&amp;Table15[[#This Row],[Gen]]</f>
        <v>11-4</v>
      </c>
      <c r="B95">
        <v>11</v>
      </c>
      <c r="C95">
        <v>4</v>
      </c>
      <c r="D95" t="s">
        <v>4</v>
      </c>
      <c r="E95" t="s">
        <v>9</v>
      </c>
      <c r="F95">
        <f>SUMIFS(Table1[Survival],Table1[Lineage],"="&amp;Table15[[#This Row],[Lineage]],Table1[Gen],"="&amp;Table15[[#This Row],[Gen]])/COUNTIFS(Table1[Lineage],"="&amp;Table15[[#This Row],[Lineage]],Table1[Gen],"="&amp;Table15[[#This Row],[Gen]])</f>
        <v>104081</v>
      </c>
      <c r="G95" t="s">
        <v>15</v>
      </c>
      <c r="H95">
        <f>IFERROR(VALUE(VLOOKUP(Table15[[#This Row],[ID]],Skills!A:D,4,FALSE)),0)</f>
        <v>0</v>
      </c>
      <c r="I95" t="b">
        <v>1</v>
      </c>
    </row>
    <row r="96" spans="1:9" x14ac:dyDescent="0.25">
      <c r="A96" t="str">
        <f>Table15[[#This Row],[Lineage]]&amp;"-"&amp;Table15[[#This Row],[Gen]]</f>
        <v>11-5</v>
      </c>
      <c r="B96">
        <v>11</v>
      </c>
      <c r="C96">
        <v>5</v>
      </c>
      <c r="D96" t="s">
        <v>4</v>
      </c>
      <c r="E96" t="s">
        <v>9</v>
      </c>
      <c r="F96">
        <f>SUMIFS(Table1[Survival],Table1[Lineage],"="&amp;Table15[[#This Row],[Lineage]],Table1[Gen],"="&amp;Table15[[#This Row],[Gen]])/COUNTIFS(Table1[Lineage],"="&amp;Table15[[#This Row],[Lineage]],Table1[Gen],"="&amp;Table15[[#This Row],[Gen]])</f>
        <v>53211.5</v>
      </c>
      <c r="G96" t="s">
        <v>15</v>
      </c>
      <c r="H96">
        <f>IFERROR(VALUE(VLOOKUP(Table15[[#This Row],[ID]],Skills!A:D,4,FALSE)),0)</f>
        <v>0</v>
      </c>
      <c r="I96" t="b">
        <v>1</v>
      </c>
    </row>
    <row r="97" spans="1:9" x14ac:dyDescent="0.25">
      <c r="A97" t="str">
        <f>Table15[[#This Row],[Lineage]]&amp;"-"&amp;Table15[[#This Row],[Gen]]</f>
        <v>12-1</v>
      </c>
      <c r="B97">
        <v>12</v>
      </c>
      <c r="C97">
        <v>1</v>
      </c>
      <c r="D97" t="s">
        <v>8</v>
      </c>
      <c r="E97" t="s">
        <v>9</v>
      </c>
      <c r="F97">
        <f>SUMIFS(Table1[Survival],Table1[Lineage],"="&amp;Table15[[#This Row],[Lineage]],Table1[Gen],"="&amp;Table15[[#This Row],[Gen]])/COUNTIFS(Table1[Lineage],"="&amp;Table15[[#This Row],[Lineage]],Table1[Gen],"="&amp;Table15[[#This Row],[Gen]])</f>
        <v>115570</v>
      </c>
      <c r="G97" t="s">
        <v>15</v>
      </c>
      <c r="H97">
        <f>IFERROR(VALUE(VLOOKUP(Table15[[#This Row],[ID]],Skills!A:D,4,FALSE)),0)</f>
        <v>0</v>
      </c>
      <c r="I97" t="b">
        <v>1</v>
      </c>
    </row>
    <row r="98" spans="1:9" x14ac:dyDescent="0.25">
      <c r="A98" t="str">
        <f>Table15[[#This Row],[Lineage]]&amp;"-"&amp;Table15[[#This Row],[Gen]]</f>
        <v>12-2</v>
      </c>
      <c r="B98">
        <v>12</v>
      </c>
      <c r="C98">
        <v>2</v>
      </c>
      <c r="D98" t="s">
        <v>8</v>
      </c>
      <c r="E98" t="s">
        <v>9</v>
      </c>
      <c r="F98">
        <f>SUMIFS(Table1[Survival],Table1[Lineage],"="&amp;Table15[[#This Row],[Lineage]],Table1[Gen],"="&amp;Table15[[#This Row],[Gen]])/COUNTIFS(Table1[Lineage],"="&amp;Table15[[#This Row],[Lineage]],Table1[Gen],"="&amp;Table15[[#This Row],[Gen]])</f>
        <v>86800</v>
      </c>
      <c r="G98" t="s">
        <v>15</v>
      </c>
      <c r="H98">
        <f>IFERROR(VALUE(VLOOKUP(Table15[[#This Row],[ID]],Skills!A:D,4,FALSE)),0)</f>
        <v>0</v>
      </c>
      <c r="I98" t="b">
        <v>1</v>
      </c>
    </row>
    <row r="99" spans="1:9" x14ac:dyDescent="0.25">
      <c r="A99" t="str">
        <f>Table15[[#This Row],[Lineage]]&amp;"-"&amp;Table15[[#This Row],[Gen]]</f>
        <v>12-3</v>
      </c>
      <c r="B99">
        <v>12</v>
      </c>
      <c r="C99">
        <v>3</v>
      </c>
      <c r="D99" t="s">
        <v>8</v>
      </c>
      <c r="E99" t="s">
        <v>9</v>
      </c>
      <c r="F99">
        <f>SUMIFS(Table1[Survival],Table1[Lineage],"="&amp;Table15[[#This Row],[Lineage]],Table1[Gen],"="&amp;Table15[[#This Row],[Gen]])/COUNTIFS(Table1[Lineage],"="&amp;Table15[[#This Row],[Lineage]],Table1[Gen],"="&amp;Table15[[#This Row],[Gen]])</f>
        <v>43249.5</v>
      </c>
      <c r="G99" t="s">
        <v>15</v>
      </c>
      <c r="H99">
        <f>IFERROR(VALUE(VLOOKUP(Table15[[#This Row],[ID]],Skills!A:D,4,FALSE)),0)</f>
        <v>0</v>
      </c>
      <c r="I99" t="b">
        <v>1</v>
      </c>
    </row>
    <row r="100" spans="1:9" x14ac:dyDescent="0.25">
      <c r="A100" t="str">
        <f>Table15[[#This Row],[Lineage]]&amp;"-"&amp;Table15[[#This Row],[Gen]]</f>
        <v>12-4</v>
      </c>
      <c r="B100">
        <v>12</v>
      </c>
      <c r="C100">
        <v>4</v>
      </c>
      <c r="D100" t="s">
        <v>8</v>
      </c>
      <c r="E100" t="s">
        <v>9</v>
      </c>
      <c r="F100">
        <f>SUMIFS(Table1[Survival],Table1[Lineage],"="&amp;Table15[[#This Row],[Lineage]],Table1[Gen],"="&amp;Table15[[#This Row],[Gen]])/COUNTIFS(Table1[Lineage],"="&amp;Table15[[#This Row],[Lineage]],Table1[Gen],"="&amp;Table15[[#This Row],[Gen]])</f>
        <v>60025</v>
      </c>
      <c r="G100" t="s">
        <v>15</v>
      </c>
      <c r="H100">
        <f>IFERROR(VALUE(VLOOKUP(Table15[[#This Row],[ID]],Skills!A:D,4,FALSE)),0)</f>
        <v>0</v>
      </c>
      <c r="I100" t="b">
        <v>1</v>
      </c>
    </row>
    <row r="101" spans="1:9" x14ac:dyDescent="0.25">
      <c r="A101" t="str">
        <f>Table15[[#This Row],[Lineage]]&amp;"-"&amp;Table15[[#This Row],[Gen]]</f>
        <v>12-5</v>
      </c>
      <c r="B101">
        <v>12</v>
      </c>
      <c r="C101">
        <v>5</v>
      </c>
      <c r="D101" t="s">
        <v>8</v>
      </c>
      <c r="E101" t="s">
        <v>9</v>
      </c>
      <c r="F101">
        <f>SUMIFS(Table1[Survival],Table1[Lineage],"="&amp;Table15[[#This Row],[Lineage]],Table1[Gen],"="&amp;Table15[[#This Row],[Gen]])/COUNTIFS(Table1[Lineage],"="&amp;Table15[[#This Row],[Lineage]],Table1[Gen],"="&amp;Table15[[#This Row],[Gen]])</f>
        <v>71244</v>
      </c>
      <c r="G101" t="s">
        <v>15</v>
      </c>
      <c r="H101">
        <f>IFERROR(VALUE(VLOOKUP(Table15[[#This Row],[ID]],Skills!A:D,4,FALSE)),0)</f>
        <v>0</v>
      </c>
      <c r="I101" t="b">
        <v>1</v>
      </c>
    </row>
    <row r="102" spans="1:9" x14ac:dyDescent="0.25">
      <c r="A102" t="str">
        <f>Table15[[#This Row],[Lineage]]&amp;"-"&amp;Table15[[#This Row],[Gen]]</f>
        <v>13-1</v>
      </c>
      <c r="B102">
        <v>13</v>
      </c>
      <c r="C102">
        <v>1</v>
      </c>
      <c r="D102" t="s">
        <v>8</v>
      </c>
      <c r="E102" t="s">
        <v>9</v>
      </c>
      <c r="F102">
        <f>SUMIFS(Table1[Survival],Table1[Lineage],"="&amp;Table15[[#This Row],[Lineage]],Table1[Gen],"="&amp;Table15[[#This Row],[Gen]])/COUNTIFS(Table1[Lineage],"="&amp;Table15[[#This Row],[Lineage]],Table1[Gen],"="&amp;Table15[[#This Row],[Gen]])</f>
        <v>46227</v>
      </c>
      <c r="G102" t="s">
        <v>16</v>
      </c>
      <c r="H102">
        <f>IFERROR(VALUE(VLOOKUP(Table15[[#This Row],[ID]],Skills!A:D,4,FALSE)),0)</f>
        <v>2</v>
      </c>
      <c r="I102" t="b">
        <v>0</v>
      </c>
    </row>
    <row r="103" spans="1:9" x14ac:dyDescent="0.25">
      <c r="A103" t="str">
        <f>Table15[[#This Row],[Lineage]]&amp;"-"&amp;Table15[[#This Row],[Gen]]</f>
        <v>13-2</v>
      </c>
      <c r="B103">
        <v>13</v>
      </c>
      <c r="C103">
        <v>2</v>
      </c>
      <c r="D103" t="s">
        <v>8</v>
      </c>
      <c r="E103" t="s">
        <v>9</v>
      </c>
      <c r="F103">
        <f>SUMIFS(Table1[Survival],Table1[Lineage],"="&amp;Table15[[#This Row],[Lineage]],Table1[Gen],"="&amp;Table15[[#This Row],[Gen]])/COUNTIFS(Table1[Lineage],"="&amp;Table15[[#This Row],[Lineage]],Table1[Gen],"="&amp;Table15[[#This Row],[Gen]])</f>
        <v>50621</v>
      </c>
      <c r="G103" t="s">
        <v>16</v>
      </c>
      <c r="H103">
        <f>IFERROR(VALUE(VLOOKUP(Table15[[#This Row],[ID]],Skills!A:D,4,FALSE)),0)</f>
        <v>2</v>
      </c>
      <c r="I103" t="b">
        <v>0</v>
      </c>
    </row>
    <row r="104" spans="1:9" x14ac:dyDescent="0.25">
      <c r="A104" t="str">
        <f>Table15[[#This Row],[Lineage]]&amp;"-"&amp;Table15[[#This Row],[Gen]]</f>
        <v>13-3</v>
      </c>
      <c r="B104">
        <v>13</v>
      </c>
      <c r="C104">
        <v>3</v>
      </c>
      <c r="D104" t="s">
        <v>8</v>
      </c>
      <c r="E104" t="s">
        <v>9</v>
      </c>
      <c r="F104">
        <f>SUMIFS(Table1[Survival],Table1[Lineage],"="&amp;Table15[[#This Row],[Lineage]],Table1[Gen],"="&amp;Table15[[#This Row],[Gen]])/COUNTIFS(Table1[Lineage],"="&amp;Table15[[#This Row],[Lineage]],Table1[Gen],"="&amp;Table15[[#This Row],[Gen]])</f>
        <v>43706</v>
      </c>
      <c r="G104" t="s">
        <v>16</v>
      </c>
      <c r="H104">
        <f>IFERROR(VALUE(VLOOKUP(Table15[[#This Row],[ID]],Skills!A:D,4,FALSE)),0)</f>
        <v>1</v>
      </c>
      <c r="I104" t="b">
        <v>0</v>
      </c>
    </row>
    <row r="105" spans="1:9" x14ac:dyDescent="0.25">
      <c r="A105" t="str">
        <f>Table15[[#This Row],[Lineage]]&amp;"-"&amp;Table15[[#This Row],[Gen]]</f>
        <v>14-1</v>
      </c>
      <c r="B105">
        <v>14</v>
      </c>
      <c r="C105">
        <v>1</v>
      </c>
      <c r="D105" t="s">
        <v>4</v>
      </c>
      <c r="E105" t="s">
        <v>5</v>
      </c>
      <c r="F105">
        <f>SUMIFS(Table1[Survival],Table1[Lineage],"="&amp;Table15[[#This Row],[Lineage]],Table1[Gen],"="&amp;Table15[[#This Row],[Gen]])/COUNTIFS(Table1[Lineage],"="&amp;Table15[[#This Row],[Lineage]],Table1[Gen],"="&amp;Table15[[#This Row],[Gen]])</f>
        <v>85703</v>
      </c>
      <c r="G105" t="s">
        <v>17</v>
      </c>
      <c r="H105">
        <f>IFERROR(VALUE(VLOOKUP(Table15[[#This Row],[ID]],Skills!A:D,4,FALSE)),0)</f>
        <v>0</v>
      </c>
      <c r="I105" t="b">
        <v>1</v>
      </c>
    </row>
    <row r="106" spans="1:9" x14ac:dyDescent="0.25">
      <c r="A106" t="str">
        <f>Table15[[#This Row],[Lineage]]&amp;"-"&amp;Table15[[#This Row],[Gen]]</f>
        <v>14-2</v>
      </c>
      <c r="B106">
        <v>14</v>
      </c>
      <c r="C106">
        <v>2</v>
      </c>
      <c r="D106" t="s">
        <v>4</v>
      </c>
      <c r="E106" t="s">
        <v>5</v>
      </c>
      <c r="F106">
        <f>SUMIFS(Table1[Survival],Table1[Lineage],"="&amp;Table15[[#This Row],[Lineage]],Table1[Gen],"="&amp;Table15[[#This Row],[Gen]])/COUNTIFS(Table1[Lineage],"="&amp;Table15[[#This Row],[Lineage]],Table1[Gen],"="&amp;Table15[[#This Row],[Gen]])</f>
        <v>49568.5</v>
      </c>
      <c r="G106" t="s">
        <v>17</v>
      </c>
      <c r="H106">
        <f>IFERROR(VALUE(VLOOKUP(Table15[[#This Row],[ID]],Skills!A:D,4,FALSE)),0)</f>
        <v>0</v>
      </c>
      <c r="I106" t="b">
        <v>1</v>
      </c>
    </row>
    <row r="107" spans="1:9" x14ac:dyDescent="0.25">
      <c r="A107" t="str">
        <f>Table15[[#This Row],[Lineage]]&amp;"-"&amp;Table15[[#This Row],[Gen]]</f>
        <v>14-3</v>
      </c>
      <c r="B107">
        <v>14</v>
      </c>
      <c r="C107">
        <v>3</v>
      </c>
      <c r="D107" t="s">
        <v>4</v>
      </c>
      <c r="E107" t="s">
        <v>5</v>
      </c>
      <c r="F107">
        <f>SUMIFS(Table1[Survival],Table1[Lineage],"="&amp;Table15[[#This Row],[Lineage]],Table1[Gen],"="&amp;Table15[[#This Row],[Gen]])/COUNTIFS(Table1[Lineage],"="&amp;Table15[[#This Row],[Lineage]],Table1[Gen],"="&amp;Table15[[#This Row],[Gen]])</f>
        <v>52825</v>
      </c>
      <c r="G107" t="s">
        <v>17</v>
      </c>
      <c r="H107">
        <f>IFERROR(VALUE(VLOOKUP(Table15[[#This Row],[ID]],Skills!A:D,4,FALSE)),0)</f>
        <v>0</v>
      </c>
      <c r="I107" t="b">
        <v>1</v>
      </c>
    </row>
    <row r="108" spans="1:9" x14ac:dyDescent="0.25">
      <c r="A108" t="str">
        <f>Table15[[#This Row],[Lineage]]&amp;"-"&amp;Table15[[#This Row],[Gen]]</f>
        <v>14-4</v>
      </c>
      <c r="B108">
        <v>14</v>
      </c>
      <c r="C108">
        <v>4</v>
      </c>
      <c r="D108" t="s">
        <v>4</v>
      </c>
      <c r="E108" t="s">
        <v>5</v>
      </c>
      <c r="F108">
        <f>SUMIFS(Table1[Survival],Table1[Lineage],"="&amp;Table15[[#This Row],[Lineage]],Table1[Gen],"="&amp;Table15[[#This Row],[Gen]])/COUNTIFS(Table1[Lineage],"="&amp;Table15[[#This Row],[Lineage]],Table1[Gen],"="&amp;Table15[[#This Row],[Gen]])</f>
        <v>57358.5</v>
      </c>
      <c r="G108" t="s">
        <v>17</v>
      </c>
      <c r="H108">
        <f>IFERROR(VALUE(VLOOKUP(Table15[[#This Row],[ID]],Skills!A:D,4,FALSE)),0)</f>
        <v>0</v>
      </c>
      <c r="I108" t="b">
        <v>1</v>
      </c>
    </row>
    <row r="109" spans="1:9" x14ac:dyDescent="0.25">
      <c r="A109" t="str">
        <f>Table15[[#This Row],[Lineage]]&amp;"-"&amp;Table15[[#This Row],[Gen]]</f>
        <v>14-5</v>
      </c>
      <c r="B109">
        <v>14</v>
      </c>
      <c r="C109">
        <v>5</v>
      </c>
      <c r="D109" t="s">
        <v>4</v>
      </c>
      <c r="E109" t="s">
        <v>5</v>
      </c>
      <c r="F109">
        <f>SUMIFS(Table1[Survival],Table1[Lineage],"="&amp;Table15[[#This Row],[Lineage]],Table1[Gen],"="&amp;Table15[[#This Row],[Gen]])/COUNTIFS(Table1[Lineage],"="&amp;Table15[[#This Row],[Lineage]],Table1[Gen],"="&amp;Table15[[#This Row],[Gen]])</f>
        <v>56951</v>
      </c>
      <c r="G109" t="s">
        <v>17</v>
      </c>
      <c r="H109">
        <f>IFERROR(VALUE(VLOOKUP(Table15[[#This Row],[ID]],Skills!A:D,4,FALSE)),0)</f>
        <v>0</v>
      </c>
      <c r="I109" t="b">
        <v>1</v>
      </c>
    </row>
    <row r="110" spans="1:9" x14ac:dyDescent="0.25">
      <c r="A110" t="str">
        <f>Table15[[#This Row],[Lineage]]&amp;"-"&amp;Table15[[#This Row],[Gen]]</f>
        <v>14-6</v>
      </c>
      <c r="B110">
        <v>14</v>
      </c>
      <c r="C110">
        <v>6</v>
      </c>
      <c r="D110" t="s">
        <v>4</v>
      </c>
      <c r="E110" t="s">
        <v>5</v>
      </c>
      <c r="F110">
        <f>SUMIFS(Table1[Survival],Table1[Lineage],"="&amp;Table15[[#This Row],[Lineage]],Table1[Gen],"="&amp;Table15[[#This Row],[Gen]])/COUNTIFS(Table1[Lineage],"="&amp;Table15[[#This Row],[Lineage]],Table1[Gen],"="&amp;Table15[[#This Row],[Gen]])</f>
        <v>48637.5</v>
      </c>
      <c r="G110" t="s">
        <v>17</v>
      </c>
      <c r="H110">
        <f>IFERROR(VALUE(VLOOKUP(Table15[[#This Row],[ID]],Skills!A:D,4,FALSE)),0)</f>
        <v>0</v>
      </c>
      <c r="I110" t="b">
        <v>1</v>
      </c>
    </row>
    <row r="111" spans="1:9" x14ac:dyDescent="0.25">
      <c r="A111" t="str">
        <f>Table15[[#This Row],[Lineage]]&amp;"-"&amp;Table15[[#This Row],[Gen]]</f>
        <v>14-7</v>
      </c>
      <c r="B111">
        <v>14</v>
      </c>
      <c r="C111">
        <v>7</v>
      </c>
      <c r="D111" t="s">
        <v>4</v>
      </c>
      <c r="E111" t="s">
        <v>5</v>
      </c>
      <c r="F111">
        <f>SUMIFS(Table1[Survival],Table1[Lineage],"="&amp;Table15[[#This Row],[Lineage]],Table1[Gen],"="&amp;Table15[[#This Row],[Gen]])/COUNTIFS(Table1[Lineage],"="&amp;Table15[[#This Row],[Lineage]],Table1[Gen],"="&amp;Table15[[#This Row],[Gen]])</f>
        <v>56513.5</v>
      </c>
      <c r="G111" t="s">
        <v>17</v>
      </c>
      <c r="H111">
        <f>IFERROR(VALUE(VLOOKUP(Table15[[#This Row],[ID]],Skills!A:D,4,FALSE)),0)</f>
        <v>0</v>
      </c>
      <c r="I111" t="b">
        <v>1</v>
      </c>
    </row>
    <row r="112" spans="1:9" x14ac:dyDescent="0.25">
      <c r="A112" t="str">
        <f>Table15[[#This Row],[Lineage]]&amp;"-"&amp;Table15[[#This Row],[Gen]]</f>
        <v>14-8</v>
      </c>
      <c r="B112">
        <v>14</v>
      </c>
      <c r="C112">
        <v>8</v>
      </c>
      <c r="D112" t="s">
        <v>4</v>
      </c>
      <c r="E112" t="s">
        <v>5</v>
      </c>
      <c r="F112">
        <f>SUMIFS(Table1[Survival],Table1[Lineage],"="&amp;Table15[[#This Row],[Lineage]],Table1[Gen],"="&amp;Table15[[#This Row],[Gen]])/COUNTIFS(Table1[Lineage],"="&amp;Table15[[#This Row],[Lineage]],Table1[Gen],"="&amp;Table15[[#This Row],[Gen]])</f>
        <v>53744</v>
      </c>
      <c r="G112" t="s">
        <v>17</v>
      </c>
      <c r="H112">
        <f>IFERROR(VALUE(VLOOKUP(Table15[[#This Row],[ID]],Skills!A:D,4,FALSE)),0)</f>
        <v>0</v>
      </c>
      <c r="I112" t="b">
        <v>1</v>
      </c>
    </row>
    <row r="113" spans="1:9" x14ac:dyDescent="0.25">
      <c r="A113" t="str">
        <f>Table15[[#This Row],[Lineage]]&amp;"-"&amp;Table15[[#This Row],[Gen]]</f>
        <v>14-9</v>
      </c>
      <c r="B113">
        <v>14</v>
      </c>
      <c r="C113">
        <v>9</v>
      </c>
      <c r="D113" t="s">
        <v>4</v>
      </c>
      <c r="E113" t="s">
        <v>5</v>
      </c>
      <c r="F113">
        <f>SUMIFS(Table1[Survival],Table1[Lineage],"="&amp;Table15[[#This Row],[Lineage]],Table1[Gen],"="&amp;Table15[[#This Row],[Gen]])/COUNTIFS(Table1[Lineage],"="&amp;Table15[[#This Row],[Lineage]],Table1[Gen],"="&amp;Table15[[#This Row],[Gen]])</f>
        <v>68363.5</v>
      </c>
      <c r="G113" t="s">
        <v>17</v>
      </c>
      <c r="H113">
        <f>IFERROR(VALUE(VLOOKUP(Table15[[#This Row],[ID]],Skills!A:D,4,FALSE)),0)</f>
        <v>0</v>
      </c>
      <c r="I113" t="b">
        <v>1</v>
      </c>
    </row>
    <row r="114" spans="1:9" x14ac:dyDescent="0.25">
      <c r="A114" t="str">
        <f>Table15[[#This Row],[Lineage]]&amp;"-"&amp;Table15[[#This Row],[Gen]]</f>
        <v>14-10</v>
      </c>
      <c r="B114">
        <v>14</v>
      </c>
      <c r="C114">
        <v>10</v>
      </c>
      <c r="D114" t="s">
        <v>4</v>
      </c>
      <c r="E114" t="s">
        <v>5</v>
      </c>
      <c r="F114">
        <f>SUMIFS(Table1[Survival],Table1[Lineage],"="&amp;Table15[[#This Row],[Lineage]],Table1[Gen],"="&amp;Table15[[#This Row],[Gen]])/COUNTIFS(Table1[Lineage],"="&amp;Table15[[#This Row],[Lineage]],Table1[Gen],"="&amp;Table15[[#This Row],[Gen]])</f>
        <v>68741.5</v>
      </c>
      <c r="G114" t="s">
        <v>17</v>
      </c>
      <c r="H114">
        <f>IFERROR(VALUE(VLOOKUP(Table15[[#This Row],[ID]],Skills!A:D,4,FALSE)),0)</f>
        <v>1</v>
      </c>
      <c r="I114" t="b">
        <v>1</v>
      </c>
    </row>
    <row r="115" spans="1:9" x14ac:dyDescent="0.25">
      <c r="A115" t="str">
        <f>Table15[[#This Row],[Lineage]]&amp;"-"&amp;Table15[[#This Row],[Gen]]</f>
        <v>14-11</v>
      </c>
      <c r="B115">
        <v>14</v>
      </c>
      <c r="C115">
        <v>11</v>
      </c>
      <c r="D115" t="s">
        <v>4</v>
      </c>
      <c r="E115" t="s">
        <v>5</v>
      </c>
      <c r="F115">
        <f>SUMIFS(Table1[Survival],Table1[Lineage],"="&amp;Table15[[#This Row],[Lineage]],Table1[Gen],"="&amp;Table15[[#This Row],[Gen]])/COUNTIFS(Table1[Lineage],"="&amp;Table15[[#This Row],[Lineage]],Table1[Gen],"="&amp;Table15[[#This Row],[Gen]])</f>
        <v>71373</v>
      </c>
      <c r="G115" t="s">
        <v>17</v>
      </c>
      <c r="H115">
        <f>IFERROR(VALUE(VLOOKUP(Table15[[#This Row],[ID]],Skills!A:D,4,FALSE)),0)</f>
        <v>0</v>
      </c>
      <c r="I115" t="b">
        <v>1</v>
      </c>
    </row>
    <row r="116" spans="1:9" x14ac:dyDescent="0.25">
      <c r="A116" t="str">
        <f>Table15[[#This Row],[Lineage]]&amp;"-"&amp;Table15[[#This Row],[Gen]]</f>
        <v>14-12</v>
      </c>
      <c r="B116">
        <v>14</v>
      </c>
      <c r="C116">
        <v>12</v>
      </c>
      <c r="D116" t="s">
        <v>4</v>
      </c>
      <c r="E116" t="s">
        <v>5</v>
      </c>
      <c r="F116">
        <f>SUMIFS(Table1[Survival],Table1[Lineage],"="&amp;Table15[[#This Row],[Lineage]],Table1[Gen],"="&amp;Table15[[#This Row],[Gen]])/COUNTIFS(Table1[Lineage],"="&amp;Table15[[#This Row],[Lineage]],Table1[Gen],"="&amp;Table15[[#This Row],[Gen]])</f>
        <v>53454.5</v>
      </c>
      <c r="G116" t="s">
        <v>17</v>
      </c>
      <c r="H116">
        <f>IFERROR(VALUE(VLOOKUP(Table15[[#This Row],[ID]],Skills!A:D,4,FALSE)),0)</f>
        <v>0</v>
      </c>
      <c r="I116" t="b">
        <v>1</v>
      </c>
    </row>
    <row r="117" spans="1:9" x14ac:dyDescent="0.25">
      <c r="A117" t="str">
        <f>Table15[[#This Row],[Lineage]]&amp;"-"&amp;Table15[[#This Row],[Gen]]</f>
        <v>14-13</v>
      </c>
      <c r="B117">
        <v>14</v>
      </c>
      <c r="C117">
        <v>13</v>
      </c>
      <c r="D117" t="s">
        <v>4</v>
      </c>
      <c r="E117" t="s">
        <v>5</v>
      </c>
      <c r="F117">
        <f>SUMIFS(Table1[Survival],Table1[Lineage],"="&amp;Table15[[#This Row],[Lineage]],Table1[Gen],"="&amp;Table15[[#This Row],[Gen]])/COUNTIFS(Table1[Lineage],"="&amp;Table15[[#This Row],[Lineage]],Table1[Gen],"="&amp;Table15[[#This Row],[Gen]])</f>
        <v>57222.5</v>
      </c>
      <c r="G117" t="s">
        <v>17</v>
      </c>
      <c r="H117">
        <f>IFERROR(VALUE(VLOOKUP(Table15[[#This Row],[ID]],Skills!A:D,4,FALSE)),0)</f>
        <v>0</v>
      </c>
      <c r="I117" t="b">
        <v>1</v>
      </c>
    </row>
    <row r="118" spans="1:9" x14ac:dyDescent="0.25">
      <c r="A118" t="str">
        <f>Table15[[#This Row],[Lineage]]&amp;"-"&amp;Table15[[#This Row],[Gen]]</f>
        <v>14-14</v>
      </c>
      <c r="B118">
        <v>14</v>
      </c>
      <c r="C118">
        <v>14</v>
      </c>
      <c r="D118" t="s">
        <v>4</v>
      </c>
      <c r="E118" t="s">
        <v>5</v>
      </c>
      <c r="F118">
        <f>SUMIFS(Table1[Survival],Table1[Lineage],"="&amp;Table15[[#This Row],[Lineage]],Table1[Gen],"="&amp;Table15[[#This Row],[Gen]])/COUNTIFS(Table1[Lineage],"="&amp;Table15[[#This Row],[Lineage]],Table1[Gen],"="&amp;Table15[[#This Row],[Gen]])</f>
        <v>50171</v>
      </c>
      <c r="G118" t="s">
        <v>17</v>
      </c>
      <c r="H118">
        <f>IFERROR(VALUE(VLOOKUP(Table15[[#This Row],[ID]],Skills!A:D,4,FALSE)),0)</f>
        <v>0</v>
      </c>
      <c r="I118" t="b">
        <v>1</v>
      </c>
    </row>
    <row r="119" spans="1:9" x14ac:dyDescent="0.25">
      <c r="A119" t="str">
        <f>Table15[[#This Row],[Lineage]]&amp;"-"&amp;Table15[[#This Row],[Gen]]</f>
        <v>14-15</v>
      </c>
      <c r="B119">
        <v>14</v>
      </c>
      <c r="C119">
        <v>15</v>
      </c>
      <c r="D119" t="s">
        <v>4</v>
      </c>
      <c r="E119" t="s">
        <v>5</v>
      </c>
      <c r="F119">
        <f>SUMIFS(Table1[Survival],Table1[Lineage],"="&amp;Table15[[#This Row],[Lineage]],Table1[Gen],"="&amp;Table15[[#This Row],[Gen]])/COUNTIFS(Table1[Lineage],"="&amp;Table15[[#This Row],[Lineage]],Table1[Gen],"="&amp;Table15[[#This Row],[Gen]])</f>
        <v>57176</v>
      </c>
      <c r="G119" t="s">
        <v>17</v>
      </c>
      <c r="H119">
        <f>IFERROR(VALUE(VLOOKUP(Table15[[#This Row],[ID]],Skills!A:D,4,FALSE)),0)</f>
        <v>0</v>
      </c>
      <c r="I119" t="b">
        <v>1</v>
      </c>
    </row>
    <row r="120" spans="1:9" x14ac:dyDescent="0.25">
      <c r="A120" t="str">
        <f>Table15[[#This Row],[Lineage]]&amp;"-"&amp;Table15[[#This Row],[Gen]]</f>
        <v>14-16</v>
      </c>
      <c r="B120">
        <v>14</v>
      </c>
      <c r="C120">
        <v>16</v>
      </c>
      <c r="D120" t="s">
        <v>4</v>
      </c>
      <c r="E120" t="s">
        <v>5</v>
      </c>
      <c r="F120">
        <f>SUMIFS(Table1[Survival],Table1[Lineage],"="&amp;Table15[[#This Row],[Lineage]],Table1[Gen],"="&amp;Table15[[#This Row],[Gen]])/COUNTIFS(Table1[Lineage],"="&amp;Table15[[#This Row],[Lineage]],Table1[Gen],"="&amp;Table15[[#This Row],[Gen]])</f>
        <v>56173.5</v>
      </c>
      <c r="G120" t="s">
        <v>17</v>
      </c>
      <c r="H120">
        <f>IFERROR(VALUE(VLOOKUP(Table15[[#This Row],[ID]],Skills!A:D,4,FALSE)),0)</f>
        <v>0</v>
      </c>
      <c r="I120" t="b">
        <v>1</v>
      </c>
    </row>
    <row r="121" spans="1:9" x14ac:dyDescent="0.25">
      <c r="A121" t="str">
        <f>Table15[[#This Row],[Lineage]]&amp;"-"&amp;Table15[[#This Row],[Gen]]</f>
        <v>14-17</v>
      </c>
      <c r="B121">
        <v>14</v>
      </c>
      <c r="C121">
        <v>17</v>
      </c>
      <c r="D121" t="s">
        <v>4</v>
      </c>
      <c r="E121" t="s">
        <v>5</v>
      </c>
      <c r="F121">
        <f>SUMIFS(Table1[Survival],Table1[Lineage],"="&amp;Table15[[#This Row],[Lineage]],Table1[Gen],"="&amp;Table15[[#This Row],[Gen]])/COUNTIFS(Table1[Lineage],"="&amp;Table15[[#This Row],[Lineage]],Table1[Gen],"="&amp;Table15[[#This Row],[Gen]])</f>
        <v>55893</v>
      </c>
      <c r="G121" t="s">
        <v>17</v>
      </c>
      <c r="H121">
        <f>IFERROR(VALUE(VLOOKUP(Table15[[#This Row],[ID]],Skills!A:D,4,FALSE)),0)</f>
        <v>0</v>
      </c>
      <c r="I121" t="b">
        <v>1</v>
      </c>
    </row>
    <row r="122" spans="1:9" x14ac:dyDescent="0.25">
      <c r="A122" t="str">
        <f>Table15[[#This Row],[Lineage]]&amp;"-"&amp;Table15[[#This Row],[Gen]]</f>
        <v>14-18</v>
      </c>
      <c r="B122">
        <v>14</v>
      </c>
      <c r="C122">
        <v>18</v>
      </c>
      <c r="D122" t="s">
        <v>4</v>
      </c>
      <c r="E122" t="s">
        <v>5</v>
      </c>
      <c r="F122">
        <f>SUMIFS(Table1[Survival],Table1[Lineage],"="&amp;Table15[[#This Row],[Lineage]],Table1[Gen],"="&amp;Table15[[#This Row],[Gen]])/COUNTIFS(Table1[Lineage],"="&amp;Table15[[#This Row],[Lineage]],Table1[Gen],"="&amp;Table15[[#This Row],[Gen]])</f>
        <v>59845</v>
      </c>
      <c r="G122" t="s">
        <v>17</v>
      </c>
      <c r="H122">
        <f>IFERROR(VALUE(VLOOKUP(Table15[[#This Row],[ID]],Skills!A:D,4,FALSE)),0)</f>
        <v>0</v>
      </c>
      <c r="I122" t="b">
        <v>1</v>
      </c>
    </row>
    <row r="123" spans="1:9" x14ac:dyDescent="0.25">
      <c r="A123" t="str">
        <f>Table15[[#This Row],[Lineage]]&amp;"-"&amp;Table15[[#This Row],[Gen]]</f>
        <v>14-19</v>
      </c>
      <c r="B123">
        <v>14</v>
      </c>
      <c r="C123">
        <v>19</v>
      </c>
      <c r="D123" t="s">
        <v>4</v>
      </c>
      <c r="E123" t="s">
        <v>5</v>
      </c>
      <c r="F123">
        <f>SUMIFS(Table1[Survival],Table1[Lineage],"="&amp;Table15[[#This Row],[Lineage]],Table1[Gen],"="&amp;Table15[[#This Row],[Gen]])/COUNTIFS(Table1[Lineage],"="&amp;Table15[[#This Row],[Lineage]],Table1[Gen],"="&amp;Table15[[#This Row],[Gen]])</f>
        <v>55307</v>
      </c>
      <c r="G123" t="s">
        <v>17</v>
      </c>
      <c r="H123">
        <f>IFERROR(VALUE(VLOOKUP(Table15[[#This Row],[ID]],Skills!A:D,4,FALSE)),0)</f>
        <v>0</v>
      </c>
      <c r="I123" t="b">
        <v>1</v>
      </c>
    </row>
    <row r="124" spans="1:9" x14ac:dyDescent="0.25">
      <c r="A124" t="str">
        <f>Table15[[#This Row],[Lineage]]&amp;"-"&amp;Table15[[#This Row],[Gen]]</f>
        <v>14-20</v>
      </c>
      <c r="B124">
        <v>14</v>
      </c>
      <c r="C124">
        <v>20</v>
      </c>
      <c r="D124" t="s">
        <v>4</v>
      </c>
      <c r="E124" t="s">
        <v>5</v>
      </c>
      <c r="F124">
        <f>SUMIFS(Table1[Survival],Table1[Lineage],"="&amp;Table15[[#This Row],[Lineage]],Table1[Gen],"="&amp;Table15[[#This Row],[Gen]])/COUNTIFS(Table1[Lineage],"="&amp;Table15[[#This Row],[Lineage]],Table1[Gen],"="&amp;Table15[[#This Row],[Gen]])</f>
        <v>70123</v>
      </c>
      <c r="G124" t="s">
        <v>17</v>
      </c>
      <c r="H124">
        <f>IFERROR(VALUE(VLOOKUP(Table15[[#This Row],[ID]],Skills!A:D,4,FALSE)),0)</f>
        <v>0</v>
      </c>
      <c r="I124" t="b">
        <v>1</v>
      </c>
    </row>
    <row r="125" spans="1:9" x14ac:dyDescent="0.25">
      <c r="A125" t="str">
        <f>Table15[[#This Row],[Lineage]]&amp;"-"&amp;Table15[[#This Row],[Gen]]</f>
        <v>15-1</v>
      </c>
      <c r="B125">
        <v>15</v>
      </c>
      <c r="C125">
        <v>1</v>
      </c>
      <c r="D125" t="s">
        <v>4</v>
      </c>
      <c r="E125" t="s">
        <v>5</v>
      </c>
      <c r="F125">
        <f>SUMIFS(Table1[Survival],Table1[Lineage],"="&amp;Table15[[#This Row],[Lineage]],Table1[Gen],"="&amp;Table15[[#This Row],[Gen]])/COUNTIFS(Table1[Lineage],"="&amp;Table15[[#This Row],[Lineage]],Table1[Gen],"="&amp;Table15[[#This Row],[Gen]])</f>
        <v>129526.5</v>
      </c>
      <c r="G125" t="s">
        <v>18</v>
      </c>
      <c r="H125">
        <f>IFERROR(VALUE(VLOOKUP(Table15[[#This Row],[ID]],Skills!A:D,4,FALSE)),0)</f>
        <v>0</v>
      </c>
      <c r="I125" t="b">
        <v>1</v>
      </c>
    </row>
    <row r="126" spans="1:9" x14ac:dyDescent="0.25">
      <c r="A126" t="str">
        <f>Table15[[#This Row],[Lineage]]&amp;"-"&amp;Table15[[#This Row],[Gen]]</f>
        <v>15-2</v>
      </c>
      <c r="B126">
        <v>15</v>
      </c>
      <c r="C126">
        <v>2</v>
      </c>
      <c r="D126" t="s">
        <v>4</v>
      </c>
      <c r="E126" t="s">
        <v>5</v>
      </c>
      <c r="F126">
        <f>SUMIFS(Table1[Survival],Table1[Lineage],"="&amp;Table15[[#This Row],[Lineage]],Table1[Gen],"="&amp;Table15[[#This Row],[Gen]])/COUNTIFS(Table1[Lineage],"="&amp;Table15[[#This Row],[Lineage]],Table1[Gen],"="&amp;Table15[[#This Row],[Gen]])</f>
        <v>129414</v>
      </c>
      <c r="G126" t="s">
        <v>18</v>
      </c>
      <c r="H126">
        <f>IFERROR(VALUE(VLOOKUP(Table15[[#This Row],[ID]],Skills!A:D,4,FALSE)),0)</f>
        <v>0</v>
      </c>
      <c r="I126" t="b">
        <v>1</v>
      </c>
    </row>
    <row r="127" spans="1:9" x14ac:dyDescent="0.25">
      <c r="A127" t="str">
        <f>Table15[[#This Row],[Lineage]]&amp;"-"&amp;Table15[[#This Row],[Gen]]</f>
        <v>15-3</v>
      </c>
      <c r="B127">
        <v>15</v>
      </c>
      <c r="C127">
        <v>3</v>
      </c>
      <c r="D127" t="s">
        <v>4</v>
      </c>
      <c r="E127" t="s">
        <v>5</v>
      </c>
      <c r="F127">
        <f>SUMIFS(Table1[Survival],Table1[Lineage],"="&amp;Table15[[#This Row],[Lineage]],Table1[Gen],"="&amp;Table15[[#This Row],[Gen]])/COUNTIFS(Table1[Lineage],"="&amp;Table15[[#This Row],[Lineage]],Table1[Gen],"="&amp;Table15[[#This Row],[Gen]])</f>
        <v>103476</v>
      </c>
      <c r="G127" t="s">
        <v>18</v>
      </c>
      <c r="H127">
        <f>IFERROR(VALUE(VLOOKUP(Table15[[#This Row],[ID]],Skills!A:D,4,FALSE)),0)</f>
        <v>1</v>
      </c>
      <c r="I127" t="b">
        <v>1</v>
      </c>
    </row>
    <row r="128" spans="1:9" x14ac:dyDescent="0.25">
      <c r="A128" t="str">
        <f>Table15[[#This Row],[Lineage]]&amp;"-"&amp;Table15[[#This Row],[Gen]]</f>
        <v>15-4</v>
      </c>
      <c r="B128">
        <v>15</v>
      </c>
      <c r="C128">
        <v>4</v>
      </c>
      <c r="D128" t="s">
        <v>4</v>
      </c>
      <c r="E128" t="s">
        <v>5</v>
      </c>
      <c r="F128">
        <f>SUMIFS(Table1[Survival],Table1[Lineage],"="&amp;Table15[[#This Row],[Lineage]],Table1[Gen],"="&amp;Table15[[#This Row],[Gen]])/COUNTIFS(Table1[Lineage],"="&amp;Table15[[#This Row],[Lineage]],Table1[Gen],"="&amp;Table15[[#This Row],[Gen]])</f>
        <v>103410.5</v>
      </c>
      <c r="G128" t="s">
        <v>18</v>
      </c>
      <c r="H128">
        <f>IFERROR(VALUE(VLOOKUP(Table15[[#This Row],[ID]],Skills!A:D,4,FALSE)),0)</f>
        <v>0</v>
      </c>
      <c r="I128" t="b">
        <v>1</v>
      </c>
    </row>
    <row r="129" spans="1:9" x14ac:dyDescent="0.25">
      <c r="A129" t="str">
        <f>Table15[[#This Row],[Lineage]]&amp;"-"&amp;Table15[[#This Row],[Gen]]</f>
        <v>15-5</v>
      </c>
      <c r="B129">
        <v>15</v>
      </c>
      <c r="C129">
        <v>5</v>
      </c>
      <c r="D129" t="s">
        <v>4</v>
      </c>
      <c r="E129" t="s">
        <v>5</v>
      </c>
      <c r="F129">
        <f>SUMIFS(Table1[Survival],Table1[Lineage],"="&amp;Table15[[#This Row],[Lineage]],Table1[Gen],"="&amp;Table15[[#This Row],[Gen]])/COUNTIFS(Table1[Lineage],"="&amp;Table15[[#This Row],[Lineage]],Table1[Gen],"="&amp;Table15[[#This Row],[Gen]])</f>
        <v>65099.5</v>
      </c>
      <c r="G129" t="s">
        <v>18</v>
      </c>
      <c r="H129">
        <f>IFERROR(VALUE(VLOOKUP(Table15[[#This Row],[ID]],Skills!A:D,4,FALSE)),0)</f>
        <v>0</v>
      </c>
      <c r="I129" t="b">
        <v>1</v>
      </c>
    </row>
    <row r="130" spans="1:9" x14ac:dyDescent="0.25">
      <c r="A130" t="str">
        <f>Table15[[#This Row],[Lineage]]&amp;"-"&amp;Table15[[#This Row],[Gen]]</f>
        <v>15-6</v>
      </c>
      <c r="B130">
        <v>15</v>
      </c>
      <c r="C130">
        <v>6</v>
      </c>
      <c r="D130" t="s">
        <v>4</v>
      </c>
      <c r="E130" t="s">
        <v>5</v>
      </c>
      <c r="F130">
        <f>SUMIFS(Table1[Survival],Table1[Lineage],"="&amp;Table15[[#This Row],[Lineage]],Table1[Gen],"="&amp;Table15[[#This Row],[Gen]])/COUNTIFS(Table1[Lineage],"="&amp;Table15[[#This Row],[Lineage]],Table1[Gen],"="&amp;Table15[[#This Row],[Gen]])</f>
        <v>89490.5</v>
      </c>
      <c r="G130" t="s">
        <v>18</v>
      </c>
      <c r="H130">
        <f>IFERROR(VALUE(VLOOKUP(Table15[[#This Row],[ID]],Skills!A:D,4,FALSE)),0)</f>
        <v>0</v>
      </c>
      <c r="I130" t="b">
        <v>1</v>
      </c>
    </row>
    <row r="131" spans="1:9" x14ac:dyDescent="0.25">
      <c r="A131" t="str">
        <f>Table15[[#This Row],[Lineage]]&amp;"-"&amp;Table15[[#This Row],[Gen]]</f>
        <v>15-7</v>
      </c>
      <c r="B131">
        <v>15</v>
      </c>
      <c r="C131">
        <v>7</v>
      </c>
      <c r="D131" t="s">
        <v>4</v>
      </c>
      <c r="E131" t="s">
        <v>5</v>
      </c>
      <c r="F131">
        <f>SUMIFS(Table1[Survival],Table1[Lineage],"="&amp;Table15[[#This Row],[Lineage]],Table1[Gen],"="&amp;Table15[[#This Row],[Gen]])/COUNTIFS(Table1[Lineage],"="&amp;Table15[[#This Row],[Lineage]],Table1[Gen],"="&amp;Table15[[#This Row],[Gen]])</f>
        <v>77120.5</v>
      </c>
      <c r="G131" t="s">
        <v>18</v>
      </c>
      <c r="H131">
        <f>IFERROR(VALUE(VLOOKUP(Table15[[#This Row],[ID]],Skills!A:D,4,FALSE)),0)</f>
        <v>0</v>
      </c>
      <c r="I131" t="b">
        <v>1</v>
      </c>
    </row>
    <row r="132" spans="1:9" x14ac:dyDescent="0.25">
      <c r="A132" t="str">
        <f>Table15[[#This Row],[Lineage]]&amp;"-"&amp;Table15[[#This Row],[Gen]]</f>
        <v>15-8</v>
      </c>
      <c r="B132">
        <v>15</v>
      </c>
      <c r="C132">
        <v>8</v>
      </c>
      <c r="D132" t="s">
        <v>4</v>
      </c>
      <c r="E132" t="s">
        <v>5</v>
      </c>
      <c r="F132">
        <f>SUMIFS(Table1[Survival],Table1[Lineage],"="&amp;Table15[[#This Row],[Lineage]],Table1[Gen],"="&amp;Table15[[#This Row],[Gen]])/COUNTIFS(Table1[Lineage],"="&amp;Table15[[#This Row],[Lineage]],Table1[Gen],"="&amp;Table15[[#This Row],[Gen]])</f>
        <v>129483.5</v>
      </c>
      <c r="G132" t="s">
        <v>18</v>
      </c>
      <c r="H132">
        <f>IFERROR(VALUE(VLOOKUP(Table15[[#This Row],[ID]],Skills!A:D,4,FALSE)),0)</f>
        <v>0</v>
      </c>
      <c r="I132" t="b">
        <v>1</v>
      </c>
    </row>
    <row r="133" spans="1:9" x14ac:dyDescent="0.25">
      <c r="A133" t="str">
        <f>Table15[[#This Row],[Lineage]]&amp;"-"&amp;Table15[[#This Row],[Gen]]</f>
        <v>15-9</v>
      </c>
      <c r="B133">
        <v>15</v>
      </c>
      <c r="C133">
        <v>9</v>
      </c>
      <c r="D133" t="s">
        <v>4</v>
      </c>
      <c r="E133" t="s">
        <v>5</v>
      </c>
      <c r="F133">
        <f>SUMIFS(Table1[Survival],Table1[Lineage],"="&amp;Table15[[#This Row],[Lineage]],Table1[Gen],"="&amp;Table15[[#This Row],[Gen]])/COUNTIFS(Table1[Lineage],"="&amp;Table15[[#This Row],[Lineage]],Table1[Gen],"="&amp;Table15[[#This Row],[Gen]])</f>
        <v>102664.5</v>
      </c>
      <c r="G133" t="s">
        <v>18</v>
      </c>
      <c r="H133">
        <f>IFERROR(VALUE(VLOOKUP(Table15[[#This Row],[ID]],Skills!A:D,4,FALSE)),0)</f>
        <v>0</v>
      </c>
      <c r="I133" t="b">
        <v>1</v>
      </c>
    </row>
    <row r="134" spans="1:9" x14ac:dyDescent="0.25">
      <c r="A134" t="str">
        <f>Table15[[#This Row],[Lineage]]&amp;"-"&amp;Table15[[#This Row],[Gen]]</f>
        <v>15-10</v>
      </c>
      <c r="B134">
        <v>15</v>
      </c>
      <c r="C134">
        <v>10</v>
      </c>
      <c r="D134" t="s">
        <v>4</v>
      </c>
      <c r="E134" t="s">
        <v>5</v>
      </c>
      <c r="F134">
        <f>SUMIFS(Table1[Survival],Table1[Lineage],"="&amp;Table15[[#This Row],[Lineage]],Table1[Gen],"="&amp;Table15[[#This Row],[Gen]])/COUNTIFS(Table1[Lineage],"="&amp;Table15[[#This Row],[Lineage]],Table1[Gen],"="&amp;Table15[[#This Row],[Gen]])</f>
        <v>98215</v>
      </c>
      <c r="G134" t="s">
        <v>18</v>
      </c>
      <c r="H134">
        <f>IFERROR(VALUE(VLOOKUP(Table15[[#This Row],[ID]],Skills!A:D,4,FALSE)),0)</f>
        <v>0</v>
      </c>
      <c r="I134" t="b">
        <v>1</v>
      </c>
    </row>
    <row r="135" spans="1:9" x14ac:dyDescent="0.25">
      <c r="A135" t="str">
        <f>Table15[[#This Row],[Lineage]]&amp;"-"&amp;Table15[[#This Row],[Gen]]</f>
        <v>15-11</v>
      </c>
      <c r="B135">
        <v>15</v>
      </c>
      <c r="C135">
        <v>11</v>
      </c>
      <c r="D135" t="s">
        <v>4</v>
      </c>
      <c r="E135" t="s">
        <v>5</v>
      </c>
      <c r="F135">
        <f>SUMIFS(Table1[Survival],Table1[Lineage],"="&amp;Table15[[#This Row],[Lineage]],Table1[Gen],"="&amp;Table15[[#This Row],[Gen]])/COUNTIFS(Table1[Lineage],"="&amp;Table15[[#This Row],[Lineage]],Table1[Gen],"="&amp;Table15[[#This Row],[Gen]])</f>
        <v>82700</v>
      </c>
      <c r="G135" t="s">
        <v>18</v>
      </c>
      <c r="H135">
        <f>IFERROR(VALUE(VLOOKUP(Table15[[#This Row],[ID]],Skills!A:D,4,FALSE)),0)</f>
        <v>0</v>
      </c>
      <c r="I135" t="b">
        <v>1</v>
      </c>
    </row>
    <row r="136" spans="1:9" x14ac:dyDescent="0.25">
      <c r="A136" t="str">
        <f>Table15[[#This Row],[Lineage]]&amp;"-"&amp;Table15[[#This Row],[Gen]]</f>
        <v>15-12</v>
      </c>
      <c r="B136">
        <v>15</v>
      </c>
      <c r="C136">
        <v>12</v>
      </c>
      <c r="D136" t="s">
        <v>4</v>
      </c>
      <c r="E136" t="s">
        <v>5</v>
      </c>
      <c r="F136">
        <f>SUMIFS(Table1[Survival],Table1[Lineage],"="&amp;Table15[[#This Row],[Lineage]],Table1[Gen],"="&amp;Table15[[#This Row],[Gen]])/COUNTIFS(Table1[Lineage],"="&amp;Table15[[#This Row],[Lineage]],Table1[Gen],"="&amp;Table15[[#This Row],[Gen]])</f>
        <v>99596.5</v>
      </c>
      <c r="G136" t="s">
        <v>18</v>
      </c>
      <c r="H136">
        <f>IFERROR(VALUE(VLOOKUP(Table15[[#This Row],[ID]],Skills!A:D,4,FALSE)),0)</f>
        <v>0</v>
      </c>
      <c r="I136" t="b">
        <v>1</v>
      </c>
    </row>
    <row r="137" spans="1:9" x14ac:dyDescent="0.25">
      <c r="A137" t="str">
        <f>Table15[[#This Row],[Lineage]]&amp;"-"&amp;Table15[[#This Row],[Gen]]</f>
        <v>15-13</v>
      </c>
      <c r="B137">
        <v>15</v>
      </c>
      <c r="C137">
        <v>13</v>
      </c>
      <c r="D137" t="s">
        <v>4</v>
      </c>
      <c r="E137" t="s">
        <v>5</v>
      </c>
      <c r="F137">
        <f>SUMIFS(Table1[Survival],Table1[Lineage],"="&amp;Table15[[#This Row],[Lineage]],Table1[Gen],"="&amp;Table15[[#This Row],[Gen]])/COUNTIFS(Table1[Lineage],"="&amp;Table15[[#This Row],[Lineage]],Table1[Gen],"="&amp;Table15[[#This Row],[Gen]])</f>
        <v>79020.5</v>
      </c>
      <c r="G137" t="s">
        <v>18</v>
      </c>
      <c r="H137">
        <f>IFERROR(VALUE(VLOOKUP(Table15[[#This Row],[ID]],Skills!A:D,4,FALSE)),0)</f>
        <v>0</v>
      </c>
      <c r="I137" t="b">
        <v>1</v>
      </c>
    </row>
    <row r="138" spans="1:9" x14ac:dyDescent="0.25">
      <c r="A138" t="str">
        <f>Table15[[#This Row],[Lineage]]&amp;"-"&amp;Table15[[#This Row],[Gen]]</f>
        <v>15-14</v>
      </c>
      <c r="B138">
        <v>15</v>
      </c>
      <c r="C138">
        <v>14</v>
      </c>
      <c r="D138" t="s">
        <v>4</v>
      </c>
      <c r="E138" t="s">
        <v>5</v>
      </c>
      <c r="F138">
        <f>SUMIFS(Table1[Survival],Table1[Lineage],"="&amp;Table15[[#This Row],[Lineage]],Table1[Gen],"="&amp;Table15[[#This Row],[Gen]])/COUNTIFS(Table1[Lineage],"="&amp;Table15[[#This Row],[Lineage]],Table1[Gen],"="&amp;Table15[[#This Row],[Gen]])</f>
        <v>103375</v>
      </c>
      <c r="G138" t="s">
        <v>18</v>
      </c>
      <c r="H138">
        <f>IFERROR(VALUE(VLOOKUP(Table15[[#This Row],[ID]],Skills!A:D,4,FALSE)),0)</f>
        <v>0</v>
      </c>
      <c r="I138" t="b">
        <v>1</v>
      </c>
    </row>
    <row r="139" spans="1:9" x14ac:dyDescent="0.25">
      <c r="A139" t="str">
        <f>Table15[[#This Row],[Lineage]]&amp;"-"&amp;Table15[[#This Row],[Gen]]</f>
        <v>16-1</v>
      </c>
      <c r="B139">
        <v>16</v>
      </c>
      <c r="C139">
        <v>1</v>
      </c>
      <c r="D139" t="s">
        <v>19</v>
      </c>
      <c r="E139" t="s">
        <v>5</v>
      </c>
      <c r="F139">
        <f>SUMIFS(Table1[Survival],Table1[Lineage],"="&amp;Table15[[#This Row],[Lineage]],Table1[Gen],"="&amp;Table15[[#This Row],[Gen]])/COUNTIFS(Table1[Lineage],"="&amp;Table15[[#This Row],[Lineage]],Table1[Gen],"="&amp;Table15[[#This Row],[Gen]])</f>
        <v>131055</v>
      </c>
      <c r="G139" t="s">
        <v>20</v>
      </c>
      <c r="H139">
        <f>IFERROR(VALUE(VLOOKUP(Table15[[#This Row],[ID]],Skills!A:D,4,FALSE)),0)</f>
        <v>0</v>
      </c>
      <c r="I139" t="b">
        <v>1</v>
      </c>
    </row>
    <row r="140" spans="1:9" x14ac:dyDescent="0.25">
      <c r="A140" t="str">
        <f>Table15[[#This Row],[Lineage]]&amp;"-"&amp;Table15[[#This Row],[Gen]]</f>
        <v>16-2</v>
      </c>
      <c r="B140">
        <v>16</v>
      </c>
      <c r="C140">
        <v>2</v>
      </c>
      <c r="D140" t="s">
        <v>19</v>
      </c>
      <c r="E140" t="s">
        <v>5</v>
      </c>
      <c r="F140">
        <f>SUMIFS(Table1[Survival],Table1[Lineage],"="&amp;Table15[[#This Row],[Lineage]],Table1[Gen],"="&amp;Table15[[#This Row],[Gen]])/COUNTIFS(Table1[Lineage],"="&amp;Table15[[#This Row],[Lineage]],Table1[Gen],"="&amp;Table15[[#This Row],[Gen]])</f>
        <v>128001</v>
      </c>
      <c r="G140" t="s">
        <v>20</v>
      </c>
      <c r="H140">
        <f>IFERROR(VALUE(VLOOKUP(Table15[[#This Row],[ID]],Skills!A:D,4,FALSE)),0)</f>
        <v>1</v>
      </c>
      <c r="I140" t="b">
        <v>1</v>
      </c>
    </row>
    <row r="141" spans="1:9" x14ac:dyDescent="0.25">
      <c r="A141" t="str">
        <f>Table15[[#This Row],[Lineage]]&amp;"-"&amp;Table15[[#This Row],[Gen]]</f>
        <v>16-3</v>
      </c>
      <c r="B141">
        <v>16</v>
      </c>
      <c r="C141">
        <v>3</v>
      </c>
      <c r="D141" t="s">
        <v>19</v>
      </c>
      <c r="E141" t="s">
        <v>5</v>
      </c>
      <c r="F141">
        <f>SUMIFS(Table1[Survival],Table1[Lineage],"="&amp;Table15[[#This Row],[Lineage]],Table1[Gen],"="&amp;Table15[[#This Row],[Gen]])/COUNTIFS(Table1[Lineage],"="&amp;Table15[[#This Row],[Lineage]],Table1[Gen],"="&amp;Table15[[#This Row],[Gen]])</f>
        <v>126396.5</v>
      </c>
      <c r="G141" t="s">
        <v>20</v>
      </c>
      <c r="H141">
        <f>IFERROR(VALUE(VLOOKUP(Table15[[#This Row],[ID]],Skills!A:D,4,FALSE)),0)</f>
        <v>0</v>
      </c>
      <c r="I141" t="b">
        <v>1</v>
      </c>
    </row>
    <row r="142" spans="1:9" x14ac:dyDescent="0.25">
      <c r="A142" t="str">
        <f>Table15[[#This Row],[Lineage]]&amp;"-"&amp;Table15[[#This Row],[Gen]]</f>
        <v>16-4</v>
      </c>
      <c r="B142">
        <v>16</v>
      </c>
      <c r="C142">
        <v>4</v>
      </c>
      <c r="D142" t="s">
        <v>19</v>
      </c>
      <c r="E142" t="s">
        <v>5</v>
      </c>
      <c r="F142">
        <f>SUMIFS(Table1[Survival],Table1[Lineage],"="&amp;Table15[[#This Row],[Lineage]],Table1[Gen],"="&amp;Table15[[#This Row],[Gen]])/COUNTIFS(Table1[Lineage],"="&amp;Table15[[#This Row],[Lineage]],Table1[Gen],"="&amp;Table15[[#This Row],[Gen]])</f>
        <v>130644.5</v>
      </c>
      <c r="G142" t="s">
        <v>20</v>
      </c>
      <c r="H142">
        <f>IFERROR(VALUE(VLOOKUP(Table15[[#This Row],[ID]],Skills!A:D,4,FALSE)),0)</f>
        <v>0</v>
      </c>
      <c r="I142" t="b">
        <v>1</v>
      </c>
    </row>
    <row r="143" spans="1:9" x14ac:dyDescent="0.25">
      <c r="A143" t="str">
        <f>Table15[[#This Row],[Lineage]]&amp;"-"&amp;Table15[[#This Row],[Gen]]</f>
        <v>16-5</v>
      </c>
      <c r="B143">
        <v>16</v>
      </c>
      <c r="C143">
        <v>5</v>
      </c>
      <c r="D143" t="s">
        <v>19</v>
      </c>
      <c r="E143" t="s">
        <v>5</v>
      </c>
      <c r="F143">
        <f>SUMIFS(Table1[Survival],Table1[Lineage],"="&amp;Table15[[#This Row],[Lineage]],Table1[Gen],"="&amp;Table15[[#This Row],[Gen]])/COUNTIFS(Table1[Lineage],"="&amp;Table15[[#This Row],[Lineage]],Table1[Gen],"="&amp;Table15[[#This Row],[Gen]])</f>
        <v>130995.5</v>
      </c>
      <c r="G143" t="s">
        <v>20</v>
      </c>
      <c r="H143">
        <f>IFERROR(VALUE(VLOOKUP(Table15[[#This Row],[ID]],Skills!A:D,4,FALSE)),0)</f>
        <v>0</v>
      </c>
      <c r="I143" t="b">
        <v>1</v>
      </c>
    </row>
    <row r="144" spans="1:9" x14ac:dyDescent="0.25">
      <c r="A144" t="str">
        <f>Table15[[#This Row],[Lineage]]&amp;"-"&amp;Table15[[#This Row],[Gen]]</f>
        <v>17-1</v>
      </c>
      <c r="B144">
        <v>17</v>
      </c>
      <c r="C144">
        <v>1</v>
      </c>
      <c r="D144" t="s">
        <v>4</v>
      </c>
      <c r="E144" t="s">
        <v>5</v>
      </c>
      <c r="F144">
        <f>SUMIFS(Table1[Survival],Table1[Lineage],"="&amp;Table15[[#This Row],[Lineage]],Table1[Gen],"="&amp;Table15[[#This Row],[Gen]])/COUNTIFS(Table1[Lineage],"="&amp;Table15[[#This Row],[Lineage]],Table1[Gen],"="&amp;Table15[[#This Row],[Gen]])</f>
        <v>125929</v>
      </c>
      <c r="G144" t="s">
        <v>21</v>
      </c>
      <c r="H144">
        <f>IFERROR(VALUE(VLOOKUP(Table15[[#This Row],[ID]],Skills!A:D,4,FALSE)),0)</f>
        <v>0</v>
      </c>
      <c r="I144" t="b">
        <v>1</v>
      </c>
    </row>
    <row r="145" spans="1:9" x14ac:dyDescent="0.25">
      <c r="A145" t="str">
        <f>Table15[[#This Row],[Lineage]]&amp;"-"&amp;Table15[[#This Row],[Gen]]</f>
        <v>17-2</v>
      </c>
      <c r="B145">
        <v>17</v>
      </c>
      <c r="C145">
        <v>2</v>
      </c>
      <c r="D145" t="s">
        <v>4</v>
      </c>
      <c r="E145" t="s">
        <v>5</v>
      </c>
      <c r="F145">
        <f>SUMIFS(Table1[Survival],Table1[Lineage],"="&amp;Table15[[#This Row],[Lineage]],Table1[Gen],"="&amp;Table15[[#This Row],[Gen]])/COUNTIFS(Table1[Lineage],"="&amp;Table15[[#This Row],[Lineage]],Table1[Gen],"="&amp;Table15[[#This Row],[Gen]])</f>
        <v>73518.5</v>
      </c>
      <c r="G145" t="s">
        <v>21</v>
      </c>
      <c r="H145">
        <f>IFERROR(VALUE(VLOOKUP(Table15[[#This Row],[ID]],Skills!A:D,4,FALSE)),0)</f>
        <v>0</v>
      </c>
      <c r="I145" t="b">
        <v>1</v>
      </c>
    </row>
    <row r="146" spans="1:9" x14ac:dyDescent="0.25">
      <c r="A146" t="str">
        <f>Table15[[#This Row],[Lineage]]&amp;"-"&amp;Table15[[#This Row],[Gen]]</f>
        <v>17-3</v>
      </c>
      <c r="B146">
        <v>17</v>
      </c>
      <c r="C146">
        <v>3</v>
      </c>
      <c r="D146" t="s">
        <v>4</v>
      </c>
      <c r="E146" t="s">
        <v>5</v>
      </c>
      <c r="F146">
        <f>SUMIFS(Table1[Survival],Table1[Lineage],"="&amp;Table15[[#This Row],[Lineage]],Table1[Gen],"="&amp;Table15[[#This Row],[Gen]])/COUNTIFS(Table1[Lineage],"="&amp;Table15[[#This Row],[Lineage]],Table1[Gen],"="&amp;Table15[[#This Row],[Gen]])</f>
        <v>87246.5</v>
      </c>
      <c r="G146" t="s">
        <v>21</v>
      </c>
      <c r="H146">
        <f>IFERROR(VALUE(VLOOKUP(Table15[[#This Row],[ID]],Skills!A:D,4,FALSE)),0)</f>
        <v>1</v>
      </c>
      <c r="I146" t="b">
        <v>1</v>
      </c>
    </row>
    <row r="147" spans="1:9" x14ac:dyDescent="0.25">
      <c r="A147" t="str">
        <f>Table15[[#This Row],[Lineage]]&amp;"-"&amp;Table15[[#This Row],[Gen]]</f>
        <v>17-4</v>
      </c>
      <c r="B147">
        <v>17</v>
      </c>
      <c r="C147">
        <v>4</v>
      </c>
      <c r="D147" t="s">
        <v>4</v>
      </c>
      <c r="E147" t="s">
        <v>5</v>
      </c>
      <c r="F147">
        <f>SUMIFS(Table1[Survival],Table1[Lineage],"="&amp;Table15[[#This Row],[Lineage]],Table1[Gen],"="&amp;Table15[[#This Row],[Gen]])/COUNTIFS(Table1[Lineage],"="&amp;Table15[[#This Row],[Lineage]],Table1[Gen],"="&amp;Table15[[#This Row],[Gen]])</f>
        <v>69202.5</v>
      </c>
      <c r="G147" t="s">
        <v>21</v>
      </c>
      <c r="H147">
        <f>IFERROR(VALUE(VLOOKUP(Table15[[#This Row],[ID]],Skills!A:D,4,FALSE)),0)</f>
        <v>0</v>
      </c>
      <c r="I147" t="b">
        <v>1</v>
      </c>
    </row>
    <row r="148" spans="1:9" x14ac:dyDescent="0.25">
      <c r="A148" t="str">
        <f>Table15[[#This Row],[Lineage]]&amp;"-"&amp;Table15[[#This Row],[Gen]]</f>
        <v>17-5</v>
      </c>
      <c r="B148">
        <v>17</v>
      </c>
      <c r="C148">
        <v>5</v>
      </c>
      <c r="D148" t="s">
        <v>4</v>
      </c>
      <c r="E148" t="s">
        <v>5</v>
      </c>
      <c r="F148">
        <f>SUMIFS(Table1[Survival],Table1[Lineage],"="&amp;Table15[[#This Row],[Lineage]],Table1[Gen],"="&amp;Table15[[#This Row],[Gen]])/COUNTIFS(Table1[Lineage],"="&amp;Table15[[#This Row],[Lineage]],Table1[Gen],"="&amp;Table15[[#This Row],[Gen]])</f>
        <v>85569.5</v>
      </c>
      <c r="G148" t="s">
        <v>21</v>
      </c>
      <c r="H148">
        <f>IFERROR(VALUE(VLOOKUP(Table15[[#This Row],[ID]],Skills!A:D,4,FALSE)),0)</f>
        <v>0</v>
      </c>
      <c r="I148" t="b">
        <v>1</v>
      </c>
    </row>
    <row r="149" spans="1:9" x14ac:dyDescent="0.25">
      <c r="A149" t="str">
        <f>Table15[[#This Row],[Lineage]]&amp;"-"&amp;Table15[[#This Row],[Gen]]</f>
        <v>17-6</v>
      </c>
      <c r="B149">
        <v>17</v>
      </c>
      <c r="C149">
        <v>6</v>
      </c>
      <c r="D149" t="s">
        <v>4</v>
      </c>
      <c r="E149" t="s">
        <v>5</v>
      </c>
      <c r="F149">
        <f>SUMIFS(Table1[Survival],Table1[Lineage],"="&amp;Table15[[#This Row],[Lineage]],Table1[Gen],"="&amp;Table15[[#This Row],[Gen]])/COUNTIFS(Table1[Lineage],"="&amp;Table15[[#This Row],[Lineage]],Table1[Gen],"="&amp;Table15[[#This Row],[Gen]])</f>
        <v>79155.5</v>
      </c>
      <c r="G149" t="s">
        <v>21</v>
      </c>
      <c r="H149">
        <f>IFERROR(VALUE(VLOOKUP(Table15[[#This Row],[ID]],Skills!A:D,4,FALSE)),0)</f>
        <v>0</v>
      </c>
      <c r="I149" t="b">
        <v>1</v>
      </c>
    </row>
    <row r="150" spans="1:9" x14ac:dyDescent="0.25">
      <c r="A150" t="str">
        <f>Table15[[#This Row],[Lineage]]&amp;"-"&amp;Table15[[#This Row],[Gen]]</f>
        <v>17-7</v>
      </c>
      <c r="B150">
        <v>17</v>
      </c>
      <c r="C150">
        <v>7</v>
      </c>
      <c r="D150" t="s">
        <v>4</v>
      </c>
      <c r="E150" t="s">
        <v>5</v>
      </c>
      <c r="F150">
        <f>SUMIFS(Table1[Survival],Table1[Lineage],"="&amp;Table15[[#This Row],[Lineage]],Table1[Gen],"="&amp;Table15[[#This Row],[Gen]])/COUNTIFS(Table1[Lineage],"="&amp;Table15[[#This Row],[Lineage]],Table1[Gen],"="&amp;Table15[[#This Row],[Gen]])</f>
        <v>85059</v>
      </c>
      <c r="G150" t="s">
        <v>21</v>
      </c>
      <c r="H150">
        <f>IFERROR(VALUE(VLOOKUP(Table15[[#This Row],[ID]],Skills!A:D,4,FALSE)),0)</f>
        <v>0</v>
      </c>
      <c r="I150" t="b">
        <v>1</v>
      </c>
    </row>
    <row r="151" spans="1:9" x14ac:dyDescent="0.25">
      <c r="A151" t="str">
        <f>Table15[[#This Row],[Lineage]]&amp;"-"&amp;Table15[[#This Row],[Gen]]</f>
        <v>17-8</v>
      </c>
      <c r="B151">
        <v>17</v>
      </c>
      <c r="C151">
        <v>8</v>
      </c>
      <c r="D151" t="s">
        <v>4</v>
      </c>
      <c r="E151" t="s">
        <v>5</v>
      </c>
      <c r="F151">
        <f>SUMIFS(Table1[Survival],Table1[Lineage],"="&amp;Table15[[#This Row],[Lineage]],Table1[Gen],"="&amp;Table15[[#This Row],[Gen]])/COUNTIFS(Table1[Lineage],"="&amp;Table15[[#This Row],[Lineage]],Table1[Gen],"="&amp;Table15[[#This Row],[Gen]])</f>
        <v>70310</v>
      </c>
      <c r="G151" t="s">
        <v>21</v>
      </c>
      <c r="H151">
        <f>IFERROR(VALUE(VLOOKUP(Table15[[#This Row],[ID]],Skills!A:D,4,FALSE)),0)</f>
        <v>0</v>
      </c>
      <c r="I151" t="b">
        <v>1</v>
      </c>
    </row>
    <row r="152" spans="1:9" x14ac:dyDescent="0.25">
      <c r="A152" t="str">
        <f>Table15[[#This Row],[Lineage]]&amp;"-"&amp;Table15[[#This Row],[Gen]]</f>
        <v>17-9</v>
      </c>
      <c r="B152">
        <v>17</v>
      </c>
      <c r="C152">
        <v>9</v>
      </c>
      <c r="D152" t="s">
        <v>4</v>
      </c>
      <c r="E152" t="s">
        <v>5</v>
      </c>
      <c r="F152">
        <f>SUMIFS(Table1[Survival],Table1[Lineage],"="&amp;Table15[[#This Row],[Lineage]],Table1[Gen],"="&amp;Table15[[#This Row],[Gen]])/COUNTIFS(Table1[Lineage],"="&amp;Table15[[#This Row],[Lineage]],Table1[Gen],"="&amp;Table15[[#This Row],[Gen]])</f>
        <v>68820.5</v>
      </c>
      <c r="G152" t="s">
        <v>21</v>
      </c>
      <c r="H152">
        <f>IFERROR(VALUE(VLOOKUP(Table15[[#This Row],[ID]],Skills!A:D,4,FALSE)),0)</f>
        <v>0</v>
      </c>
      <c r="I152" t="b">
        <v>1</v>
      </c>
    </row>
    <row r="153" spans="1:9" x14ac:dyDescent="0.25">
      <c r="A153" t="str">
        <f>Table15[[#This Row],[Lineage]]&amp;"-"&amp;Table15[[#This Row],[Gen]]</f>
        <v>17-10</v>
      </c>
      <c r="B153">
        <v>17</v>
      </c>
      <c r="C153">
        <v>10</v>
      </c>
      <c r="D153" t="s">
        <v>4</v>
      </c>
      <c r="E153" t="s">
        <v>5</v>
      </c>
      <c r="F153">
        <f>SUMIFS(Table1[Survival],Table1[Lineage],"="&amp;Table15[[#This Row],[Lineage]],Table1[Gen],"="&amp;Table15[[#This Row],[Gen]])/COUNTIFS(Table1[Lineage],"="&amp;Table15[[#This Row],[Lineage]],Table1[Gen],"="&amp;Table15[[#This Row],[Gen]])</f>
        <v>74923.5</v>
      </c>
      <c r="G153" t="s">
        <v>21</v>
      </c>
      <c r="H153">
        <f>IFERROR(VALUE(VLOOKUP(Table15[[#This Row],[ID]],Skills!A:D,4,FALSE)),0)</f>
        <v>0</v>
      </c>
      <c r="I153" t="b">
        <v>1</v>
      </c>
    </row>
    <row r="154" spans="1:9" x14ac:dyDescent="0.25">
      <c r="A154" t="str">
        <f>Table15[[#This Row],[Lineage]]&amp;"-"&amp;Table15[[#This Row],[Gen]]</f>
        <v>17-11</v>
      </c>
      <c r="B154">
        <v>17</v>
      </c>
      <c r="C154">
        <v>11</v>
      </c>
      <c r="D154" t="s">
        <v>4</v>
      </c>
      <c r="E154" t="s">
        <v>5</v>
      </c>
      <c r="F154">
        <f>SUMIFS(Table1[Survival],Table1[Lineage],"="&amp;Table15[[#This Row],[Lineage]],Table1[Gen],"="&amp;Table15[[#This Row],[Gen]])/COUNTIFS(Table1[Lineage],"="&amp;Table15[[#This Row],[Lineage]],Table1[Gen],"="&amp;Table15[[#This Row],[Gen]])</f>
        <v>97704</v>
      </c>
      <c r="G154" t="s">
        <v>21</v>
      </c>
      <c r="H154">
        <f>IFERROR(VALUE(VLOOKUP(Table15[[#This Row],[ID]],Skills!A:D,4,FALSE)),0)</f>
        <v>0</v>
      </c>
      <c r="I154" t="b">
        <v>1</v>
      </c>
    </row>
    <row r="155" spans="1:9" x14ac:dyDescent="0.25">
      <c r="A155" t="str">
        <f>Table15[[#This Row],[Lineage]]&amp;"-"&amp;Table15[[#This Row],[Gen]]</f>
        <v>17-12</v>
      </c>
      <c r="B155">
        <v>17</v>
      </c>
      <c r="C155">
        <v>12</v>
      </c>
      <c r="D155" t="s">
        <v>4</v>
      </c>
      <c r="E155" t="s">
        <v>5</v>
      </c>
      <c r="F155">
        <f>SUMIFS(Table1[Survival],Table1[Lineage],"="&amp;Table15[[#This Row],[Lineage]],Table1[Gen],"="&amp;Table15[[#This Row],[Gen]])/COUNTIFS(Table1[Lineage],"="&amp;Table15[[#This Row],[Lineage]],Table1[Gen],"="&amp;Table15[[#This Row],[Gen]])</f>
        <v>93810</v>
      </c>
      <c r="G155" t="s">
        <v>21</v>
      </c>
      <c r="H155">
        <f>IFERROR(VALUE(VLOOKUP(Table15[[#This Row],[ID]],Skills!A:D,4,FALSE)),0)</f>
        <v>0</v>
      </c>
      <c r="I155" t="b">
        <v>1</v>
      </c>
    </row>
    <row r="156" spans="1:9" x14ac:dyDescent="0.25">
      <c r="A156" t="str">
        <f>Table15[[#This Row],[Lineage]]&amp;"-"&amp;Table15[[#This Row],[Gen]]</f>
        <v>17-13</v>
      </c>
      <c r="B156">
        <v>17</v>
      </c>
      <c r="C156">
        <v>13</v>
      </c>
      <c r="D156" t="s">
        <v>4</v>
      </c>
      <c r="E156" t="s">
        <v>5</v>
      </c>
      <c r="F156">
        <f>SUMIFS(Table1[Survival],Table1[Lineage],"="&amp;Table15[[#This Row],[Lineage]],Table1[Gen],"="&amp;Table15[[#This Row],[Gen]])/COUNTIFS(Table1[Lineage],"="&amp;Table15[[#This Row],[Lineage]],Table1[Gen],"="&amp;Table15[[#This Row],[Gen]])</f>
        <v>74969.5</v>
      </c>
      <c r="G156" t="s">
        <v>21</v>
      </c>
      <c r="H156">
        <f>IFERROR(VALUE(VLOOKUP(Table15[[#This Row],[ID]],Skills!A:D,4,FALSE)),0)</f>
        <v>0</v>
      </c>
      <c r="I156" t="b">
        <v>1</v>
      </c>
    </row>
    <row r="157" spans="1:9" x14ac:dyDescent="0.25">
      <c r="A157" t="str">
        <f>Table15[[#This Row],[Lineage]]&amp;"-"&amp;Table15[[#This Row],[Gen]]</f>
        <v>17-14</v>
      </c>
      <c r="B157">
        <v>17</v>
      </c>
      <c r="C157">
        <v>14</v>
      </c>
      <c r="D157" t="s">
        <v>4</v>
      </c>
      <c r="E157" t="s">
        <v>5</v>
      </c>
      <c r="F157">
        <f>SUMIFS(Table1[Survival],Table1[Lineage],"="&amp;Table15[[#This Row],[Lineage]],Table1[Gen],"="&amp;Table15[[#This Row],[Gen]])/COUNTIFS(Table1[Lineage],"="&amp;Table15[[#This Row],[Lineage]],Table1[Gen],"="&amp;Table15[[#This Row],[Gen]])</f>
        <v>77106</v>
      </c>
      <c r="G157" t="s">
        <v>21</v>
      </c>
      <c r="H157">
        <f>IFERROR(VALUE(VLOOKUP(Table15[[#This Row],[ID]],Skills!A:D,4,FALSE)),0)</f>
        <v>0</v>
      </c>
      <c r="I157" t="b">
        <v>1</v>
      </c>
    </row>
    <row r="158" spans="1:9" x14ac:dyDescent="0.25">
      <c r="A158" t="str">
        <f>Table15[[#This Row],[Lineage]]&amp;"-"&amp;Table15[[#This Row],[Gen]]</f>
        <v>17-15</v>
      </c>
      <c r="B158">
        <v>17</v>
      </c>
      <c r="C158">
        <v>15</v>
      </c>
      <c r="D158" t="s">
        <v>4</v>
      </c>
      <c r="E158" t="s">
        <v>5</v>
      </c>
      <c r="F158">
        <f>SUMIFS(Table1[Survival],Table1[Lineage],"="&amp;Table15[[#This Row],[Lineage]],Table1[Gen],"="&amp;Table15[[#This Row],[Gen]])/COUNTIFS(Table1[Lineage],"="&amp;Table15[[#This Row],[Lineage]],Table1[Gen],"="&amp;Table15[[#This Row],[Gen]])</f>
        <v>130171</v>
      </c>
      <c r="G158" t="s">
        <v>21</v>
      </c>
      <c r="H158">
        <f>IFERROR(VALUE(VLOOKUP(Table15[[#This Row],[ID]],Skills!A:D,4,FALSE)),0)</f>
        <v>0</v>
      </c>
      <c r="I158" t="b">
        <v>1</v>
      </c>
    </row>
    <row r="159" spans="1:9" x14ac:dyDescent="0.25">
      <c r="A159" t="str">
        <f>Table15[[#This Row],[Lineage]]&amp;"-"&amp;Table15[[#This Row],[Gen]]</f>
        <v>17-16</v>
      </c>
      <c r="B159">
        <v>17</v>
      </c>
      <c r="C159">
        <v>16</v>
      </c>
      <c r="D159" t="s">
        <v>4</v>
      </c>
      <c r="E159" t="s">
        <v>5</v>
      </c>
      <c r="F159">
        <f>SUMIFS(Table1[Survival],Table1[Lineage],"="&amp;Table15[[#This Row],[Lineage]],Table1[Gen],"="&amp;Table15[[#This Row],[Gen]])/COUNTIFS(Table1[Lineage],"="&amp;Table15[[#This Row],[Lineage]],Table1[Gen],"="&amp;Table15[[#This Row],[Gen]])</f>
        <v>87314.5</v>
      </c>
      <c r="G159" t="s">
        <v>21</v>
      </c>
      <c r="H159">
        <f>IFERROR(VALUE(VLOOKUP(Table15[[#This Row],[ID]],Skills!A:D,4,FALSE)),0)</f>
        <v>0</v>
      </c>
      <c r="I159" t="b">
        <v>1</v>
      </c>
    </row>
    <row r="160" spans="1:9" x14ac:dyDescent="0.25">
      <c r="A160" t="str">
        <f>Table15[[#This Row],[Lineage]]&amp;"-"&amp;Table15[[#This Row],[Gen]]</f>
        <v>17-17</v>
      </c>
      <c r="B160">
        <v>17</v>
      </c>
      <c r="C160">
        <v>17</v>
      </c>
      <c r="D160" t="s">
        <v>4</v>
      </c>
      <c r="E160" t="s">
        <v>5</v>
      </c>
      <c r="F160">
        <f>SUMIFS(Table1[Survival],Table1[Lineage],"="&amp;Table15[[#This Row],[Lineage]],Table1[Gen],"="&amp;Table15[[#This Row],[Gen]])/COUNTIFS(Table1[Lineage],"="&amp;Table15[[#This Row],[Lineage]],Table1[Gen],"="&amp;Table15[[#This Row],[Gen]])</f>
        <v>99207</v>
      </c>
      <c r="G160" t="s">
        <v>21</v>
      </c>
      <c r="H160">
        <f>IFERROR(VALUE(VLOOKUP(Table15[[#This Row],[ID]],Skills!A:D,4,FALSE)),0)</f>
        <v>0</v>
      </c>
      <c r="I160" t="b">
        <v>1</v>
      </c>
    </row>
    <row r="161" spans="1:9" x14ac:dyDescent="0.25">
      <c r="A161" t="str">
        <f>Table15[[#This Row],[Lineage]]&amp;"-"&amp;Table15[[#This Row],[Gen]]</f>
        <v>17-18</v>
      </c>
      <c r="B161">
        <v>17</v>
      </c>
      <c r="C161">
        <v>18</v>
      </c>
      <c r="D161" t="s">
        <v>4</v>
      </c>
      <c r="E161" t="s">
        <v>5</v>
      </c>
      <c r="F161">
        <f>SUMIFS(Table1[Survival],Table1[Lineage],"="&amp;Table15[[#This Row],[Lineage]],Table1[Gen],"="&amp;Table15[[#This Row],[Gen]])/COUNTIFS(Table1[Lineage],"="&amp;Table15[[#This Row],[Lineage]],Table1[Gen],"="&amp;Table15[[#This Row],[Gen]])</f>
        <v>100528</v>
      </c>
      <c r="G161" t="s">
        <v>21</v>
      </c>
      <c r="H161">
        <f>IFERROR(VALUE(VLOOKUP(Table15[[#This Row],[ID]],Skills!A:D,4,FALSE)),0)</f>
        <v>0</v>
      </c>
      <c r="I161" t="b">
        <v>1</v>
      </c>
    </row>
    <row r="162" spans="1:9" x14ac:dyDescent="0.25">
      <c r="A162" t="str">
        <f>Table15[[#This Row],[Lineage]]&amp;"-"&amp;Table15[[#This Row],[Gen]]</f>
        <v>17-19</v>
      </c>
      <c r="B162">
        <v>17</v>
      </c>
      <c r="C162">
        <v>19</v>
      </c>
      <c r="D162" t="s">
        <v>4</v>
      </c>
      <c r="E162" t="s">
        <v>5</v>
      </c>
      <c r="F162">
        <f>SUMIFS(Table1[Survival],Table1[Lineage],"="&amp;Table15[[#This Row],[Lineage]],Table1[Gen],"="&amp;Table15[[#This Row],[Gen]])/COUNTIFS(Table1[Lineage],"="&amp;Table15[[#This Row],[Lineage]],Table1[Gen],"="&amp;Table15[[#This Row],[Gen]])</f>
        <v>100997.5</v>
      </c>
      <c r="G162" t="s">
        <v>21</v>
      </c>
      <c r="H162">
        <f>IFERROR(VALUE(VLOOKUP(Table15[[#This Row],[ID]],Skills!A:D,4,FALSE)),0)</f>
        <v>0</v>
      </c>
      <c r="I162" t="b">
        <v>1</v>
      </c>
    </row>
    <row r="163" spans="1:9" x14ac:dyDescent="0.25">
      <c r="A163" t="str">
        <f>Table15[[#This Row],[Lineage]]&amp;"-"&amp;Table15[[#This Row],[Gen]]</f>
        <v>17-20</v>
      </c>
      <c r="B163">
        <v>17</v>
      </c>
      <c r="C163">
        <v>20</v>
      </c>
      <c r="D163" t="s">
        <v>4</v>
      </c>
      <c r="E163" t="s">
        <v>5</v>
      </c>
      <c r="F163">
        <f>SUMIFS(Table1[Survival],Table1[Lineage],"="&amp;Table15[[#This Row],[Lineage]],Table1[Gen],"="&amp;Table15[[#This Row],[Gen]])/COUNTIFS(Table1[Lineage],"="&amp;Table15[[#This Row],[Lineage]],Table1[Gen],"="&amp;Table15[[#This Row],[Gen]])</f>
        <v>88398.5</v>
      </c>
      <c r="G163" t="s">
        <v>21</v>
      </c>
      <c r="H163">
        <f>IFERROR(VALUE(VLOOKUP(Table15[[#This Row],[ID]],Skills!A:D,4,FALSE)),0)</f>
        <v>0</v>
      </c>
      <c r="I163" t="b">
        <v>1</v>
      </c>
    </row>
    <row r="164" spans="1:9" x14ac:dyDescent="0.25">
      <c r="A164" t="str">
        <f>Table15[[#This Row],[Lineage]]&amp;"-"&amp;Table15[[#This Row],[Gen]]</f>
        <v>18-1</v>
      </c>
      <c r="B164">
        <v>18</v>
      </c>
      <c r="C164">
        <v>1</v>
      </c>
      <c r="D164" t="s">
        <v>22</v>
      </c>
      <c r="E164" t="s">
        <v>5</v>
      </c>
      <c r="F164">
        <f>SUMIFS(Table1[Survival],Table1[Lineage],"="&amp;Table15[[#This Row],[Lineage]],Table1[Gen],"="&amp;Table15[[#This Row],[Gen]])/COUNTIFS(Table1[Lineage],"="&amp;Table15[[#This Row],[Lineage]],Table1[Gen],"="&amp;Table15[[#This Row],[Gen]])</f>
        <v>111965</v>
      </c>
      <c r="G164" t="s">
        <v>28</v>
      </c>
      <c r="H164">
        <f>IFERROR(VALUE(VLOOKUP(Table15[[#This Row],[ID]],Skills!A:D,4,FALSE)),0)</f>
        <v>0</v>
      </c>
      <c r="I164" t="b">
        <v>1</v>
      </c>
    </row>
    <row r="165" spans="1:9" x14ac:dyDescent="0.25">
      <c r="A165" t="str">
        <f>Table15[[#This Row],[Lineage]]&amp;"-"&amp;Table15[[#This Row],[Gen]]</f>
        <v>18-2</v>
      </c>
      <c r="B165">
        <v>18</v>
      </c>
      <c r="C165">
        <v>2</v>
      </c>
      <c r="D165" t="s">
        <v>22</v>
      </c>
      <c r="E165" t="s">
        <v>5</v>
      </c>
      <c r="F165">
        <f>SUMIFS(Table1[Survival],Table1[Lineage],"="&amp;Table15[[#This Row],[Lineage]],Table1[Gen],"="&amp;Table15[[#This Row],[Gen]])/COUNTIFS(Table1[Lineage],"="&amp;Table15[[#This Row],[Lineage]],Table1[Gen],"="&amp;Table15[[#This Row],[Gen]])</f>
        <v>102167</v>
      </c>
      <c r="G165" t="s">
        <v>28</v>
      </c>
      <c r="H165">
        <f>IFERROR(VALUE(VLOOKUP(Table15[[#This Row],[ID]],Skills!A:D,4,FALSE)),0)</f>
        <v>0</v>
      </c>
      <c r="I165" t="b">
        <v>1</v>
      </c>
    </row>
    <row r="166" spans="1:9" x14ac:dyDescent="0.25">
      <c r="A166" t="str">
        <f>Table15[[#This Row],[Lineage]]&amp;"-"&amp;Table15[[#This Row],[Gen]]</f>
        <v>18-3</v>
      </c>
      <c r="B166">
        <v>18</v>
      </c>
      <c r="C166">
        <v>3</v>
      </c>
      <c r="D166" t="s">
        <v>22</v>
      </c>
      <c r="E166" t="s">
        <v>5</v>
      </c>
      <c r="F166">
        <f>SUMIFS(Table1[Survival],Table1[Lineage],"="&amp;Table15[[#This Row],[Lineage]],Table1[Gen],"="&amp;Table15[[#This Row],[Gen]])/COUNTIFS(Table1[Lineage],"="&amp;Table15[[#This Row],[Lineage]],Table1[Gen],"="&amp;Table15[[#This Row],[Gen]])</f>
        <v>109644</v>
      </c>
      <c r="G166" t="s">
        <v>28</v>
      </c>
      <c r="H166">
        <f>IFERROR(VALUE(VLOOKUP(Table15[[#This Row],[ID]],Skills!A:D,4,FALSE)),0)</f>
        <v>1</v>
      </c>
      <c r="I166" t="b">
        <v>1</v>
      </c>
    </row>
    <row r="167" spans="1:9" x14ac:dyDescent="0.25">
      <c r="A167" t="str">
        <f>Table15[[#This Row],[Lineage]]&amp;"-"&amp;Table15[[#This Row],[Gen]]</f>
        <v>18-4</v>
      </c>
      <c r="B167">
        <v>18</v>
      </c>
      <c r="C167">
        <v>4</v>
      </c>
      <c r="D167" t="s">
        <v>22</v>
      </c>
      <c r="E167" t="s">
        <v>5</v>
      </c>
      <c r="F167">
        <f>SUMIFS(Table1[Survival],Table1[Lineage],"="&amp;Table15[[#This Row],[Lineage]],Table1[Gen],"="&amp;Table15[[#This Row],[Gen]])/COUNTIFS(Table1[Lineage],"="&amp;Table15[[#This Row],[Lineage]],Table1[Gen],"="&amp;Table15[[#This Row],[Gen]])</f>
        <v>145173</v>
      </c>
      <c r="G167" t="s">
        <v>28</v>
      </c>
      <c r="H167">
        <f>IFERROR(VALUE(VLOOKUP(Table15[[#This Row],[ID]],Skills!A:D,4,FALSE)),0)</f>
        <v>1</v>
      </c>
      <c r="I167" t="b">
        <v>1</v>
      </c>
    </row>
    <row r="168" spans="1:9" x14ac:dyDescent="0.25">
      <c r="A168" t="str">
        <f>Table15[[#This Row],[Lineage]]&amp;"-"&amp;Table15[[#This Row],[Gen]]</f>
        <v>18-5</v>
      </c>
      <c r="B168">
        <v>18</v>
      </c>
      <c r="C168">
        <v>5</v>
      </c>
      <c r="D168" t="s">
        <v>22</v>
      </c>
      <c r="E168" t="s">
        <v>5</v>
      </c>
      <c r="F168">
        <f>SUMIFS(Table1[Survival],Table1[Lineage],"="&amp;Table15[[#This Row],[Lineage]],Table1[Gen],"="&amp;Table15[[#This Row],[Gen]])/COUNTIFS(Table1[Lineage],"="&amp;Table15[[#This Row],[Lineage]],Table1[Gen],"="&amp;Table15[[#This Row],[Gen]])</f>
        <v>116147</v>
      </c>
      <c r="G168" t="s">
        <v>28</v>
      </c>
      <c r="H168">
        <f>IFERROR(VALUE(VLOOKUP(Table15[[#This Row],[ID]],Skills!A:D,4,FALSE)),0)</f>
        <v>0</v>
      </c>
      <c r="I168" t="b">
        <v>1</v>
      </c>
    </row>
    <row r="169" spans="1:9" x14ac:dyDescent="0.25">
      <c r="A169" t="str">
        <f>Table15[[#This Row],[Lineage]]&amp;"-"&amp;Table15[[#This Row],[Gen]]</f>
        <v>19-1</v>
      </c>
      <c r="B169">
        <v>19</v>
      </c>
      <c r="C169">
        <v>1</v>
      </c>
      <c r="D169" t="s">
        <v>8</v>
      </c>
      <c r="E169" t="s">
        <v>9</v>
      </c>
      <c r="F169">
        <f>SUMIFS(Table1[Survival],Table1[Lineage],"="&amp;Table15[[#This Row],[Lineage]],Table1[Gen],"="&amp;Table15[[#This Row],[Gen]])/COUNTIFS(Table1[Lineage],"="&amp;Table15[[#This Row],[Lineage]],Table1[Gen],"="&amp;Table15[[#This Row],[Gen]])</f>
        <v>104152</v>
      </c>
      <c r="G169" t="s">
        <v>29</v>
      </c>
      <c r="H169">
        <f>IFERROR(VALUE(VLOOKUP(Table15[[#This Row],[ID]],Skills!A:D,4,FALSE)),0)</f>
        <v>0</v>
      </c>
      <c r="I169" t="b">
        <v>1</v>
      </c>
    </row>
    <row r="170" spans="1:9" x14ac:dyDescent="0.25">
      <c r="A170" t="str">
        <f>Table15[[#This Row],[Lineage]]&amp;"-"&amp;Table15[[#This Row],[Gen]]</f>
        <v>19-2</v>
      </c>
      <c r="B170">
        <v>19</v>
      </c>
      <c r="C170">
        <v>2</v>
      </c>
      <c r="D170" t="s">
        <v>8</v>
      </c>
      <c r="E170" t="s">
        <v>9</v>
      </c>
      <c r="F170">
        <f>SUMIFS(Table1[Survival],Table1[Lineage],"="&amp;Table15[[#This Row],[Lineage]],Table1[Gen],"="&amp;Table15[[#This Row],[Gen]])/COUNTIFS(Table1[Lineage],"="&amp;Table15[[#This Row],[Lineage]],Table1[Gen],"="&amp;Table15[[#This Row],[Gen]])</f>
        <v>100148.5</v>
      </c>
      <c r="G170" t="s">
        <v>29</v>
      </c>
      <c r="H170">
        <f>IFERROR(VALUE(VLOOKUP(Table15[[#This Row],[ID]],Skills!A:D,4,FALSE)),0)</f>
        <v>0</v>
      </c>
      <c r="I170" t="b">
        <v>1</v>
      </c>
    </row>
    <row r="171" spans="1:9" x14ac:dyDescent="0.25">
      <c r="A171" t="str">
        <f>Table15[[#This Row],[Lineage]]&amp;"-"&amp;Table15[[#This Row],[Gen]]</f>
        <v>19-3</v>
      </c>
      <c r="B171">
        <v>19</v>
      </c>
      <c r="C171">
        <v>3</v>
      </c>
      <c r="D171" t="s">
        <v>8</v>
      </c>
      <c r="E171" t="s">
        <v>9</v>
      </c>
      <c r="F171">
        <f>SUMIFS(Table1[Survival],Table1[Lineage],"="&amp;Table15[[#This Row],[Lineage]],Table1[Gen],"="&amp;Table15[[#This Row],[Gen]])/COUNTIFS(Table1[Lineage],"="&amp;Table15[[#This Row],[Lineage]],Table1[Gen],"="&amp;Table15[[#This Row],[Gen]])</f>
        <v>129482.5</v>
      </c>
      <c r="G171" t="s">
        <v>29</v>
      </c>
      <c r="H171">
        <f>IFERROR(VALUE(VLOOKUP(Table15[[#This Row],[ID]],Skills!A:D,4,FALSE)),0)</f>
        <v>0</v>
      </c>
      <c r="I171" t="b">
        <v>1</v>
      </c>
    </row>
    <row r="172" spans="1:9" x14ac:dyDescent="0.25">
      <c r="A172" t="str">
        <f>Table15[[#This Row],[Lineage]]&amp;"-"&amp;Table15[[#This Row],[Gen]]</f>
        <v>19-4</v>
      </c>
      <c r="B172">
        <v>19</v>
      </c>
      <c r="C172">
        <v>4</v>
      </c>
      <c r="D172" t="s">
        <v>8</v>
      </c>
      <c r="E172" t="s">
        <v>9</v>
      </c>
      <c r="F172">
        <f>SUMIFS(Table1[Survival],Table1[Lineage],"="&amp;Table15[[#This Row],[Lineage]],Table1[Gen],"="&amp;Table15[[#This Row],[Gen]])/COUNTIFS(Table1[Lineage],"="&amp;Table15[[#This Row],[Lineage]],Table1[Gen],"="&amp;Table15[[#This Row],[Gen]])</f>
        <v>91961</v>
      </c>
      <c r="G172" t="s">
        <v>29</v>
      </c>
      <c r="H172">
        <f>IFERROR(VALUE(VLOOKUP(Table15[[#This Row],[ID]],Skills!A:D,4,FALSE)),0)</f>
        <v>0</v>
      </c>
      <c r="I172" t="b">
        <v>1</v>
      </c>
    </row>
    <row r="173" spans="1:9" x14ac:dyDescent="0.25">
      <c r="A173" t="str">
        <f>Table15[[#This Row],[Lineage]]&amp;"-"&amp;Table15[[#This Row],[Gen]]</f>
        <v>19-5</v>
      </c>
      <c r="B173">
        <v>19</v>
      </c>
      <c r="C173">
        <v>5</v>
      </c>
      <c r="D173" t="s">
        <v>8</v>
      </c>
      <c r="E173" t="s">
        <v>9</v>
      </c>
      <c r="F173">
        <f>SUMIFS(Table1[Survival],Table1[Lineage],"="&amp;Table15[[#This Row],[Lineage]],Table1[Gen],"="&amp;Table15[[#This Row],[Gen]])/COUNTIFS(Table1[Lineage],"="&amp;Table15[[#This Row],[Lineage]],Table1[Gen],"="&amp;Table15[[#This Row],[Gen]])</f>
        <v>85231</v>
      </c>
      <c r="G173" t="s">
        <v>29</v>
      </c>
      <c r="H173">
        <f>IFERROR(VALUE(VLOOKUP(Table15[[#This Row],[ID]],Skills!A:D,4,FALSE)),0)</f>
        <v>0</v>
      </c>
      <c r="I173" t="b">
        <v>1</v>
      </c>
    </row>
    <row r="174" spans="1:9" x14ac:dyDescent="0.25">
      <c r="A174" t="str">
        <f>Table15[[#This Row],[Lineage]]&amp;"-"&amp;Table15[[#This Row],[Gen]]</f>
        <v>20-1</v>
      </c>
      <c r="B174">
        <v>20</v>
      </c>
      <c r="C174">
        <v>1</v>
      </c>
      <c r="D174" t="s">
        <v>8</v>
      </c>
      <c r="E174" t="s">
        <v>9</v>
      </c>
      <c r="F174">
        <f>SUMIFS(Table1[Survival],Table1[Lineage],"="&amp;Table15[[#This Row],[Lineage]],Table1[Gen],"="&amp;Table15[[#This Row],[Gen]])/COUNTIFS(Table1[Lineage],"="&amp;Table15[[#This Row],[Lineage]],Table1[Gen],"="&amp;Table15[[#This Row],[Gen]])</f>
        <v>58803.5</v>
      </c>
      <c r="G174" t="s">
        <v>30</v>
      </c>
      <c r="H174">
        <f>IFERROR(VALUE(VLOOKUP(Table15[[#This Row],[ID]],Skills!A:D,4,FALSE)),0)</f>
        <v>0</v>
      </c>
      <c r="I174" t="b">
        <v>1</v>
      </c>
    </row>
    <row r="175" spans="1:9" x14ac:dyDescent="0.25">
      <c r="A175" t="str">
        <f>Table15[[#This Row],[Lineage]]&amp;"-"&amp;Table15[[#This Row],[Gen]]</f>
        <v>20-2</v>
      </c>
      <c r="B175">
        <v>20</v>
      </c>
      <c r="C175">
        <v>2</v>
      </c>
      <c r="D175" t="s">
        <v>8</v>
      </c>
      <c r="E175" t="s">
        <v>9</v>
      </c>
      <c r="F175">
        <f>SUMIFS(Table1[Survival],Table1[Lineage],"="&amp;Table15[[#This Row],[Lineage]],Table1[Gen],"="&amp;Table15[[#This Row],[Gen]])/COUNTIFS(Table1[Lineage],"="&amp;Table15[[#This Row],[Lineage]],Table1[Gen],"="&amp;Table15[[#This Row],[Gen]])</f>
        <v>76725</v>
      </c>
      <c r="G175" t="s">
        <v>30</v>
      </c>
      <c r="H175">
        <f>IFERROR(VALUE(VLOOKUP(Table15[[#This Row],[ID]],Skills!A:D,4,FALSE)),0)</f>
        <v>0</v>
      </c>
      <c r="I175" t="b">
        <v>1</v>
      </c>
    </row>
    <row r="176" spans="1:9" x14ac:dyDescent="0.25">
      <c r="A176" t="str">
        <f>Table15[[#This Row],[Lineage]]&amp;"-"&amp;Table15[[#This Row],[Gen]]</f>
        <v>20-3</v>
      </c>
      <c r="B176">
        <v>20</v>
      </c>
      <c r="C176">
        <v>3</v>
      </c>
      <c r="D176" t="s">
        <v>8</v>
      </c>
      <c r="E176" t="s">
        <v>9</v>
      </c>
      <c r="F176">
        <f>SUMIFS(Table1[Survival],Table1[Lineage],"="&amp;Table15[[#This Row],[Lineage]],Table1[Gen],"="&amp;Table15[[#This Row],[Gen]])/COUNTIFS(Table1[Lineage],"="&amp;Table15[[#This Row],[Lineage]],Table1[Gen],"="&amp;Table15[[#This Row],[Gen]])</f>
        <v>72086.5</v>
      </c>
      <c r="G176" t="s">
        <v>30</v>
      </c>
      <c r="H176">
        <f>IFERROR(VALUE(VLOOKUP(Table15[[#This Row],[ID]],Skills!A:D,4,FALSE)),0)</f>
        <v>0</v>
      </c>
      <c r="I176" t="b">
        <v>1</v>
      </c>
    </row>
    <row r="177" spans="1:9" x14ac:dyDescent="0.25">
      <c r="A177" t="str">
        <f>Table15[[#This Row],[Lineage]]&amp;"-"&amp;Table15[[#This Row],[Gen]]</f>
        <v>20-4</v>
      </c>
      <c r="B177">
        <v>20</v>
      </c>
      <c r="C177">
        <v>4</v>
      </c>
      <c r="D177" t="s">
        <v>8</v>
      </c>
      <c r="E177" t="s">
        <v>9</v>
      </c>
      <c r="F177">
        <f>SUMIFS(Table1[Survival],Table1[Lineage],"="&amp;Table15[[#This Row],[Lineage]],Table1[Gen],"="&amp;Table15[[#This Row],[Gen]])/COUNTIFS(Table1[Lineage],"="&amp;Table15[[#This Row],[Lineage]],Table1[Gen],"="&amp;Table15[[#This Row],[Gen]])</f>
        <v>66750.5</v>
      </c>
      <c r="G177" t="s">
        <v>30</v>
      </c>
      <c r="H177">
        <f>IFERROR(VALUE(VLOOKUP(Table15[[#This Row],[ID]],Skills!A:D,4,FALSE)),0)</f>
        <v>0</v>
      </c>
      <c r="I177" t="b">
        <v>1</v>
      </c>
    </row>
    <row r="178" spans="1:9" x14ac:dyDescent="0.25">
      <c r="A178" t="str">
        <f>Table15[[#This Row],[Lineage]]&amp;"-"&amp;Table15[[#This Row],[Gen]]</f>
        <v>20-5</v>
      </c>
      <c r="B178">
        <v>20</v>
      </c>
      <c r="C178">
        <v>5</v>
      </c>
      <c r="D178" t="s">
        <v>8</v>
      </c>
      <c r="E178" t="s">
        <v>9</v>
      </c>
      <c r="F178">
        <f>SUMIFS(Table1[Survival],Table1[Lineage],"="&amp;Table15[[#This Row],[Lineage]],Table1[Gen],"="&amp;Table15[[#This Row],[Gen]])/COUNTIFS(Table1[Lineage],"="&amp;Table15[[#This Row],[Lineage]],Table1[Gen],"="&amp;Table15[[#This Row],[Gen]])</f>
        <v>56524.5</v>
      </c>
      <c r="G178" t="s">
        <v>30</v>
      </c>
      <c r="H178">
        <f>IFERROR(VALUE(VLOOKUP(Table15[[#This Row],[ID]],Skills!A:D,4,FALSE)),0)</f>
        <v>0</v>
      </c>
      <c r="I178" t="b">
        <v>1</v>
      </c>
    </row>
    <row r="179" spans="1:9" x14ac:dyDescent="0.25">
      <c r="A179" t="str">
        <f>Table15[[#This Row],[Lineage]]&amp;"-"&amp;Table15[[#This Row],[Gen]]</f>
        <v>21-1</v>
      </c>
      <c r="B179">
        <v>21</v>
      </c>
      <c r="C179">
        <v>1</v>
      </c>
      <c r="D179" t="s">
        <v>8</v>
      </c>
      <c r="E179" t="s">
        <v>9</v>
      </c>
      <c r="F179">
        <f>SUMIFS(Table1[Survival],Table1[Lineage],"="&amp;Table15[[#This Row],[Lineage]],Table1[Gen],"="&amp;Table15[[#This Row],[Gen]])/COUNTIFS(Table1[Lineage],"="&amp;Table15[[#This Row],[Lineage]],Table1[Gen],"="&amp;Table15[[#This Row],[Gen]])</f>
        <v>53617.5</v>
      </c>
      <c r="G179" t="s">
        <v>31</v>
      </c>
      <c r="H179">
        <f>IFERROR(VALUE(VLOOKUP(Table15[[#This Row],[ID]],Skills!A:D,4,FALSE)),0)</f>
        <v>4</v>
      </c>
      <c r="I179" t="b">
        <v>0</v>
      </c>
    </row>
    <row r="180" spans="1:9" x14ac:dyDescent="0.25">
      <c r="A180" t="str">
        <f>Table15[[#This Row],[Lineage]]&amp;"-"&amp;Table15[[#This Row],[Gen]]</f>
        <v>21-2</v>
      </c>
      <c r="B180">
        <v>21</v>
      </c>
      <c r="C180">
        <v>2</v>
      </c>
      <c r="D180" t="s">
        <v>8</v>
      </c>
      <c r="E180" t="s">
        <v>9</v>
      </c>
      <c r="F180">
        <f>SUMIFS(Table1[Survival],Table1[Lineage],"="&amp;Table15[[#This Row],[Lineage]],Table1[Gen],"="&amp;Table15[[#This Row],[Gen]])/COUNTIFS(Table1[Lineage],"="&amp;Table15[[#This Row],[Lineage]],Table1[Gen],"="&amp;Table15[[#This Row],[Gen]])</f>
        <v>50859</v>
      </c>
      <c r="G180" t="s">
        <v>31</v>
      </c>
      <c r="H180">
        <f>IFERROR(VALUE(VLOOKUP(Table15[[#This Row],[ID]],Skills!A:D,4,FALSE)),0)</f>
        <v>2</v>
      </c>
      <c r="I180" t="b">
        <v>0</v>
      </c>
    </row>
    <row r="181" spans="1:9" x14ac:dyDescent="0.25">
      <c r="A181" t="str">
        <f>Table15[[#This Row],[Lineage]]&amp;"-"&amp;Table15[[#This Row],[Gen]]</f>
        <v>21-3</v>
      </c>
      <c r="B181">
        <v>21</v>
      </c>
      <c r="C181">
        <v>3</v>
      </c>
      <c r="D181" t="s">
        <v>8</v>
      </c>
      <c r="E181" t="s">
        <v>9</v>
      </c>
      <c r="F181">
        <f>SUMIFS(Table1[Survival],Table1[Lineage],"="&amp;Table15[[#This Row],[Lineage]],Table1[Gen],"="&amp;Table15[[#This Row],[Gen]])/COUNTIFS(Table1[Lineage],"="&amp;Table15[[#This Row],[Lineage]],Table1[Gen],"="&amp;Table15[[#This Row],[Gen]])</f>
        <v>126152</v>
      </c>
      <c r="G181" t="s">
        <v>31</v>
      </c>
      <c r="H181">
        <f>IFERROR(VALUE(VLOOKUP(Table15[[#This Row],[ID]],Skills!A:D,4,FALSE)),0)</f>
        <v>4</v>
      </c>
      <c r="I181" t="b">
        <v>0</v>
      </c>
    </row>
    <row r="182" spans="1:9" x14ac:dyDescent="0.25">
      <c r="A182" t="str">
        <f>Table15[[#This Row],[Lineage]]&amp;"-"&amp;Table15[[#This Row],[Gen]]</f>
        <v>21-4</v>
      </c>
      <c r="B182">
        <v>21</v>
      </c>
      <c r="C182">
        <v>4</v>
      </c>
      <c r="D182" t="s">
        <v>8</v>
      </c>
      <c r="E182" t="s">
        <v>9</v>
      </c>
      <c r="F182">
        <f>SUMIFS(Table1[Survival],Table1[Lineage],"="&amp;Table15[[#This Row],[Lineage]],Table1[Gen],"="&amp;Table15[[#This Row],[Gen]])/COUNTIFS(Table1[Lineage],"="&amp;Table15[[#This Row],[Lineage]],Table1[Gen],"="&amp;Table15[[#This Row],[Gen]])</f>
        <v>90358.5</v>
      </c>
      <c r="G182" t="s">
        <v>31</v>
      </c>
      <c r="H182">
        <f>IFERROR(VALUE(VLOOKUP(Table15[[#This Row],[ID]],Skills!A:D,4,FALSE)),0)</f>
        <v>1</v>
      </c>
      <c r="I182" t="b">
        <v>0</v>
      </c>
    </row>
    <row r="183" spans="1:9" x14ac:dyDescent="0.25">
      <c r="A183" t="str">
        <f>Table15[[#This Row],[Lineage]]&amp;"-"&amp;Table15[[#This Row],[Gen]]</f>
        <v>21-5</v>
      </c>
      <c r="B183">
        <v>21</v>
      </c>
      <c r="C183">
        <v>5</v>
      </c>
      <c r="D183" t="s">
        <v>8</v>
      </c>
      <c r="E183" t="s">
        <v>9</v>
      </c>
      <c r="F183">
        <f>SUMIFS(Table1[Survival],Table1[Lineage],"="&amp;Table15[[#This Row],[Lineage]],Table1[Gen],"="&amp;Table15[[#This Row],[Gen]])/COUNTIFS(Table1[Lineage],"="&amp;Table15[[#This Row],[Lineage]],Table1[Gen],"="&amp;Table15[[#This Row],[Gen]])</f>
        <v>70136</v>
      </c>
      <c r="G183" t="s">
        <v>31</v>
      </c>
      <c r="H183">
        <f>IFERROR(VALUE(VLOOKUP(Table15[[#This Row],[ID]],Skills!A:D,4,FALSE)),0)</f>
        <v>5</v>
      </c>
      <c r="I183" t="b">
        <v>0</v>
      </c>
    </row>
    <row r="184" spans="1:9" x14ac:dyDescent="0.25">
      <c r="A184" t="str">
        <f>Table15[[#This Row],[Lineage]]&amp;"-"&amp;Table15[[#This Row],[Gen]]</f>
        <v>22-1</v>
      </c>
      <c r="B184">
        <v>22</v>
      </c>
      <c r="C184">
        <v>1</v>
      </c>
      <c r="D184" t="s">
        <v>8</v>
      </c>
      <c r="E184" t="s">
        <v>9</v>
      </c>
      <c r="F184">
        <f>SUMIFS(Table1[Survival],Table1[Lineage],"="&amp;Table15[[#This Row],[Lineage]],Table1[Gen],"="&amp;Table15[[#This Row],[Gen]])/COUNTIFS(Table1[Lineage],"="&amp;Table15[[#This Row],[Lineage]],Table1[Gen],"="&amp;Table15[[#This Row],[Gen]])</f>
        <v>50017.5</v>
      </c>
      <c r="G184" t="s">
        <v>32</v>
      </c>
      <c r="H184">
        <f>IFERROR(VALUE(VLOOKUP(Table15[[#This Row],[ID]],Skills!A:D,4,FALSE)),0)</f>
        <v>3</v>
      </c>
      <c r="I184" t="b">
        <v>0</v>
      </c>
    </row>
    <row r="185" spans="1:9" x14ac:dyDescent="0.25">
      <c r="A185" t="str">
        <f>Table15[[#This Row],[Lineage]]&amp;"-"&amp;Table15[[#This Row],[Gen]]</f>
        <v>22-2</v>
      </c>
      <c r="B185">
        <v>22</v>
      </c>
      <c r="C185">
        <v>2</v>
      </c>
      <c r="D185" t="s">
        <v>8</v>
      </c>
      <c r="E185" t="s">
        <v>9</v>
      </c>
      <c r="F185">
        <f>SUMIFS(Table1[Survival],Table1[Lineage],"="&amp;Table15[[#This Row],[Lineage]],Table1[Gen],"="&amp;Table15[[#This Row],[Gen]])/COUNTIFS(Table1[Lineage],"="&amp;Table15[[#This Row],[Lineage]],Table1[Gen],"="&amp;Table15[[#This Row],[Gen]])</f>
        <v>85247</v>
      </c>
      <c r="G185" t="s">
        <v>32</v>
      </c>
      <c r="H185">
        <f>IFERROR(VALUE(VLOOKUP(Table15[[#This Row],[ID]],Skills!A:D,4,FALSE)),0)</f>
        <v>3</v>
      </c>
      <c r="I185" t="b">
        <v>0</v>
      </c>
    </row>
    <row r="186" spans="1:9" x14ac:dyDescent="0.25">
      <c r="A186" t="str">
        <f>Table15[[#This Row],[Lineage]]&amp;"-"&amp;Table15[[#This Row],[Gen]]</f>
        <v>22-3</v>
      </c>
      <c r="B186">
        <v>22</v>
      </c>
      <c r="C186">
        <v>3</v>
      </c>
      <c r="D186" t="s">
        <v>8</v>
      </c>
      <c r="E186" t="s">
        <v>9</v>
      </c>
      <c r="F186">
        <f>SUMIFS(Table1[Survival],Table1[Lineage],"="&amp;Table15[[#This Row],[Lineage]],Table1[Gen],"="&amp;Table15[[#This Row],[Gen]])/COUNTIFS(Table1[Lineage],"="&amp;Table15[[#This Row],[Lineage]],Table1[Gen],"="&amp;Table15[[#This Row],[Gen]])</f>
        <v>99954</v>
      </c>
      <c r="G186" t="s">
        <v>32</v>
      </c>
      <c r="H186">
        <f>IFERROR(VALUE(VLOOKUP(Table15[[#This Row],[ID]],Skills!A:D,4,FALSE)),0)</f>
        <v>1</v>
      </c>
      <c r="I186" t="b">
        <v>0</v>
      </c>
    </row>
    <row r="187" spans="1:9" x14ac:dyDescent="0.25">
      <c r="A187" t="str">
        <f>Table15[[#This Row],[Lineage]]&amp;"-"&amp;Table15[[#This Row],[Gen]]</f>
        <v>22-4</v>
      </c>
      <c r="B187">
        <v>22</v>
      </c>
      <c r="C187">
        <v>4</v>
      </c>
      <c r="D187" t="s">
        <v>8</v>
      </c>
      <c r="E187" t="s">
        <v>9</v>
      </c>
      <c r="F187">
        <f>SUMIFS(Table1[Survival],Table1[Lineage],"="&amp;Table15[[#This Row],[Lineage]],Table1[Gen],"="&amp;Table15[[#This Row],[Gen]])/COUNTIFS(Table1[Lineage],"="&amp;Table15[[#This Row],[Lineage]],Table1[Gen],"="&amp;Table15[[#This Row],[Gen]])</f>
        <v>46556</v>
      </c>
      <c r="G187" t="s">
        <v>32</v>
      </c>
      <c r="H187">
        <f>IFERROR(VALUE(VLOOKUP(Table15[[#This Row],[ID]],Skills!A:D,4,FALSE)),0)</f>
        <v>0</v>
      </c>
      <c r="I187" t="b">
        <v>0</v>
      </c>
    </row>
    <row r="188" spans="1:9" x14ac:dyDescent="0.25">
      <c r="A188" t="str">
        <f>Table15[[#This Row],[Lineage]]&amp;"-"&amp;Table15[[#This Row],[Gen]]</f>
        <v>22-5</v>
      </c>
      <c r="B188">
        <v>22</v>
      </c>
      <c r="C188">
        <v>5</v>
      </c>
      <c r="D188" t="s">
        <v>8</v>
      </c>
      <c r="E188" t="s">
        <v>9</v>
      </c>
      <c r="F188">
        <f>SUMIFS(Table1[Survival],Table1[Lineage],"="&amp;Table15[[#This Row],[Lineage]],Table1[Gen],"="&amp;Table15[[#This Row],[Gen]])/COUNTIFS(Table1[Lineage],"="&amp;Table15[[#This Row],[Lineage]],Table1[Gen],"="&amp;Table15[[#This Row],[Gen]])</f>
        <v>86936</v>
      </c>
      <c r="G188" t="s">
        <v>32</v>
      </c>
      <c r="H188">
        <f>IFERROR(VALUE(VLOOKUP(Table15[[#This Row],[ID]],Skills!A:D,4,FALSE)),0)</f>
        <v>2</v>
      </c>
      <c r="I188" t="b">
        <v>0</v>
      </c>
    </row>
    <row r="189" spans="1:9" x14ac:dyDescent="0.25">
      <c r="A189" t="str">
        <f>Table15[[#This Row],[Lineage]]&amp;"-"&amp;Table15[[#This Row],[Gen]]</f>
        <v>22-6</v>
      </c>
      <c r="B189">
        <v>22</v>
      </c>
      <c r="C189">
        <v>6</v>
      </c>
      <c r="D189" t="s">
        <v>8</v>
      </c>
      <c r="E189" t="s">
        <v>9</v>
      </c>
      <c r="F189">
        <f>SUMIFS(Table1[Survival],Table1[Lineage],"="&amp;Table15[[#This Row],[Lineage]],Table1[Gen],"="&amp;Table15[[#This Row],[Gen]])/COUNTIFS(Table1[Lineage],"="&amp;Table15[[#This Row],[Lineage]],Table1[Gen],"="&amp;Table15[[#This Row],[Gen]])</f>
        <v>80388</v>
      </c>
      <c r="G189" t="s">
        <v>32</v>
      </c>
      <c r="H189">
        <f>IFERROR(VALUE(VLOOKUP(Table15[[#This Row],[ID]],Skills!A:D,4,FALSE)),0)</f>
        <v>2</v>
      </c>
      <c r="I189" t="b">
        <v>0</v>
      </c>
    </row>
    <row r="190" spans="1:9" x14ac:dyDescent="0.25">
      <c r="A190" t="str">
        <f>Table15[[#This Row],[Lineage]]&amp;"-"&amp;Table15[[#This Row],[Gen]]</f>
        <v>22-7</v>
      </c>
      <c r="B190">
        <v>22</v>
      </c>
      <c r="C190">
        <v>7</v>
      </c>
      <c r="D190" t="s">
        <v>8</v>
      </c>
      <c r="E190" t="s">
        <v>9</v>
      </c>
      <c r="F190">
        <f>SUMIFS(Table1[Survival],Table1[Lineage],"="&amp;Table15[[#This Row],[Lineage]],Table1[Gen],"="&amp;Table15[[#This Row],[Gen]])/COUNTIFS(Table1[Lineage],"="&amp;Table15[[#This Row],[Lineage]],Table1[Gen],"="&amp;Table15[[#This Row],[Gen]])</f>
        <v>101089</v>
      </c>
      <c r="G190" t="s">
        <v>32</v>
      </c>
      <c r="H190">
        <f>IFERROR(VALUE(VLOOKUP(Table15[[#This Row],[ID]],Skills!A:D,4,FALSE)),0)</f>
        <v>8</v>
      </c>
      <c r="I190" t="b">
        <v>0</v>
      </c>
    </row>
    <row r="191" spans="1:9" x14ac:dyDescent="0.25">
      <c r="A191" t="str">
        <f>Table15[[#This Row],[Lineage]]&amp;"-"&amp;Table15[[#This Row],[Gen]]</f>
        <v>22-8</v>
      </c>
      <c r="B191">
        <v>22</v>
      </c>
      <c r="C191">
        <v>8</v>
      </c>
      <c r="D191" t="s">
        <v>8</v>
      </c>
      <c r="E191" t="s">
        <v>9</v>
      </c>
      <c r="F191">
        <f>SUMIFS(Table1[Survival],Table1[Lineage],"="&amp;Table15[[#This Row],[Lineage]],Table1[Gen],"="&amp;Table15[[#This Row],[Gen]])/COUNTIFS(Table1[Lineage],"="&amp;Table15[[#This Row],[Lineage]],Table1[Gen],"="&amp;Table15[[#This Row],[Gen]])</f>
        <v>55179</v>
      </c>
      <c r="G191" t="s">
        <v>32</v>
      </c>
      <c r="H191">
        <f>IFERROR(VALUE(VLOOKUP(Table15[[#This Row],[ID]],Skills!A:D,4,FALSE)),0)</f>
        <v>0</v>
      </c>
      <c r="I191" t="b">
        <v>0</v>
      </c>
    </row>
    <row r="192" spans="1:9" x14ac:dyDescent="0.25">
      <c r="A192" t="str">
        <f>Table15[[#This Row],[Lineage]]&amp;"-"&amp;Table15[[#This Row],[Gen]]</f>
        <v>22-9</v>
      </c>
      <c r="B192">
        <v>22</v>
      </c>
      <c r="C192">
        <v>9</v>
      </c>
      <c r="D192" t="s">
        <v>8</v>
      </c>
      <c r="E192" t="s">
        <v>9</v>
      </c>
      <c r="F192">
        <f>SUMIFS(Table1[Survival],Table1[Lineage],"="&amp;Table15[[#This Row],[Lineage]],Table1[Gen],"="&amp;Table15[[#This Row],[Gen]])/COUNTIFS(Table1[Lineage],"="&amp;Table15[[#This Row],[Lineage]],Table1[Gen],"="&amp;Table15[[#This Row],[Gen]])</f>
        <v>113408.5</v>
      </c>
      <c r="G192" t="s">
        <v>32</v>
      </c>
      <c r="H192">
        <f>IFERROR(VALUE(VLOOKUP(Table15[[#This Row],[ID]],Skills!A:D,4,FALSE)),0)</f>
        <v>2</v>
      </c>
      <c r="I192" t="b">
        <v>0</v>
      </c>
    </row>
    <row r="193" spans="1:9" x14ac:dyDescent="0.25">
      <c r="A193" t="str">
        <f>Table15[[#This Row],[Lineage]]&amp;"-"&amp;Table15[[#This Row],[Gen]]</f>
        <v>23-1</v>
      </c>
      <c r="B193">
        <v>23</v>
      </c>
      <c r="C193">
        <v>1</v>
      </c>
      <c r="D193" t="s">
        <v>33</v>
      </c>
      <c r="E193" t="s">
        <v>5</v>
      </c>
      <c r="F193">
        <f>SUMIFS(Table1[Survival],Table1[Lineage],"="&amp;Table15[[#This Row],[Lineage]],Table1[Gen],"="&amp;Table15[[#This Row],[Gen]])/COUNTIFS(Table1[Lineage],"="&amp;Table15[[#This Row],[Lineage]],Table1[Gen],"="&amp;Table15[[#This Row],[Gen]])</f>
        <v>81227</v>
      </c>
      <c r="G193" t="s">
        <v>34</v>
      </c>
      <c r="H193">
        <f>IFERROR(VALUE(VLOOKUP(Table15[[#This Row],[ID]],Skills!A:D,4,FALSE)),0)</f>
        <v>5</v>
      </c>
      <c r="I193" t="b">
        <v>0</v>
      </c>
    </row>
    <row r="194" spans="1:9" x14ac:dyDescent="0.25">
      <c r="A194" t="str">
        <f>Table15[[#This Row],[Lineage]]&amp;"-"&amp;Table15[[#This Row],[Gen]]</f>
        <v>23-2</v>
      </c>
      <c r="B194">
        <v>23</v>
      </c>
      <c r="C194">
        <v>2</v>
      </c>
      <c r="D194" t="s">
        <v>33</v>
      </c>
      <c r="E194" t="s">
        <v>5</v>
      </c>
      <c r="F194">
        <f>SUMIFS(Table1[Survival],Table1[Lineage],"="&amp;Table15[[#This Row],[Lineage]],Table1[Gen],"="&amp;Table15[[#This Row],[Gen]])/COUNTIFS(Table1[Lineage],"="&amp;Table15[[#This Row],[Lineage]],Table1[Gen],"="&amp;Table15[[#This Row],[Gen]])</f>
        <v>64142.5</v>
      </c>
      <c r="G194" t="s">
        <v>34</v>
      </c>
      <c r="H194">
        <f>IFERROR(VALUE(VLOOKUP(Table15[[#This Row],[ID]],Skills!A:D,4,FALSE)),0)</f>
        <v>2</v>
      </c>
      <c r="I194" t="b">
        <v>0</v>
      </c>
    </row>
    <row r="195" spans="1:9" x14ac:dyDescent="0.25">
      <c r="A195" t="str">
        <f>Table15[[#This Row],[Lineage]]&amp;"-"&amp;Table15[[#This Row],[Gen]]</f>
        <v>23-3</v>
      </c>
      <c r="B195">
        <v>23</v>
      </c>
      <c r="C195">
        <v>3</v>
      </c>
      <c r="D195" t="s">
        <v>33</v>
      </c>
      <c r="E195" t="s">
        <v>5</v>
      </c>
      <c r="F195">
        <f>SUMIFS(Table1[Survival],Table1[Lineage],"="&amp;Table15[[#This Row],[Lineage]],Table1[Gen],"="&amp;Table15[[#This Row],[Gen]])/COUNTIFS(Table1[Lineage],"="&amp;Table15[[#This Row],[Lineage]],Table1[Gen],"="&amp;Table15[[#This Row],[Gen]])</f>
        <v>75256.5</v>
      </c>
      <c r="G195" t="s">
        <v>34</v>
      </c>
      <c r="H195">
        <f>IFERROR(VALUE(VLOOKUP(Table15[[#This Row],[ID]],Skills!A:D,4,FALSE)),0)</f>
        <v>1</v>
      </c>
      <c r="I195" t="b">
        <v>0</v>
      </c>
    </row>
    <row r="196" spans="1:9" x14ac:dyDescent="0.25">
      <c r="A196" t="str">
        <f>Table15[[#This Row],[Lineage]]&amp;"-"&amp;Table15[[#This Row],[Gen]]</f>
        <v>23-4</v>
      </c>
      <c r="B196">
        <v>23</v>
      </c>
      <c r="C196">
        <v>4</v>
      </c>
      <c r="D196" t="s">
        <v>33</v>
      </c>
      <c r="E196" t="s">
        <v>5</v>
      </c>
      <c r="F196">
        <f>SUMIFS(Table1[Survival],Table1[Lineage],"="&amp;Table15[[#This Row],[Lineage]],Table1[Gen],"="&amp;Table15[[#This Row],[Gen]])/COUNTIFS(Table1[Lineage],"="&amp;Table15[[#This Row],[Lineage]],Table1[Gen],"="&amp;Table15[[#This Row],[Gen]])</f>
        <v>87006</v>
      </c>
      <c r="G196" t="s">
        <v>34</v>
      </c>
      <c r="H196">
        <f>IFERROR(VALUE(VLOOKUP(Table15[[#This Row],[ID]],Skills!A:D,4,FALSE)),0)</f>
        <v>1</v>
      </c>
      <c r="I196" t="b">
        <v>0</v>
      </c>
    </row>
  </sheetData>
  <phoneticPr fontId="1" type="noConversion"/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7A9F8-1AE8-4EBC-B7E3-728A74F52349}">
  <dimension ref="A1:E69"/>
  <sheetViews>
    <sheetView topLeftCell="A40" zoomScale="115" zoomScaleNormal="115" workbookViewId="0">
      <selection activeCell="R62" sqref="R62"/>
    </sheetView>
  </sheetViews>
  <sheetFormatPr defaultRowHeight="15" x14ac:dyDescent="0.25"/>
  <cols>
    <col min="1" max="1" width="13.28515625" customWidth="1"/>
    <col min="2" max="2" width="14" customWidth="1"/>
  </cols>
  <sheetData>
    <row r="1" spans="1: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</row>
    <row r="2" spans="1:5" x14ac:dyDescent="0.25">
      <c r="A2">
        <v>1</v>
      </c>
      <c r="B2">
        <f>AVERAGEIFS(Table15[Survival],Table15[Model],"=qwen3.5:4b",Table15[Gen],"="&amp;Table7[[#This Row],[Generation]])/1000</f>
        <v>100.36835714285715</v>
      </c>
      <c r="C2" cm="1">
        <f t="array" ref="C2">_xlfn.STDEV.S(_xlfn._xlws.FILTER(Table15[Survival],(Table15[Model]="qwen3.5:4b")*(Table15[Gen]=Table7[[#This Row],[Generation]])))/1000</f>
        <v>25.118000084126745</v>
      </c>
      <c r="D2">
        <f>AVERAGEIFS(Table15[Survival],Table15[Model],"=qwen3.5:9b",Table15[Gen],"="&amp;Table7[[#This Row],[Generation]])/1000</f>
        <v>72.09976923076924</v>
      </c>
      <c r="E2" cm="1">
        <f t="array" ref="E2">_xlfn.STDEV.S(_xlfn._xlws.FILTER(Table15[Survival],(Table15[Model]="qwen3.5:9b")*(Table15[Gen]=Table7[[#This Row],[Generation]])))/1000</f>
        <v>20.358689951570071</v>
      </c>
    </row>
    <row r="3" spans="1:5" x14ac:dyDescent="0.25">
      <c r="A3">
        <v>2</v>
      </c>
      <c r="B3">
        <f>AVERAGEIFS(Table15[Survival],Table15[Model],"=qwen3.5:4b",Table15[Gen],"="&amp;Table7[[#This Row],[Generation]])/1000</f>
        <v>77.418357142857147</v>
      </c>
      <c r="C3" cm="1">
        <f t="array" ref="C3">_xlfn.STDEV.S(_xlfn._xlws.FILTER(Table15[Survival],(Table15[Model]="qwen3.5:4b")*(Table15[Gen]=Table7[[#This Row],[Generation]])))/1000</f>
        <v>28.020145670443195</v>
      </c>
      <c r="D3">
        <f>AVERAGEIFS(Table15[Survival],Table15[Model],"=qwen3.5:9b",Table15[Gen],"="&amp;Table7[[#This Row],[Generation]])/1000</f>
        <v>78.624076923076927</v>
      </c>
      <c r="E3" cm="1">
        <f t="array" ref="E3">_xlfn.STDEV.S(_xlfn._xlws.FILTER(Table15[Survival],(Table15[Model]="qwen3.5:9b")*(Table15[Gen]=Table7[[#This Row],[Generation]])))/1000</f>
        <v>23.702080332065027</v>
      </c>
    </row>
    <row r="4" spans="1:5" x14ac:dyDescent="0.25">
      <c r="A4">
        <v>3</v>
      </c>
      <c r="B4">
        <f>AVERAGEIFS(Table15[Survival],Table15[Model],"=qwen3.5:4b",Table15[Gen],"="&amp;Table7[[#This Row],[Generation]])/1000</f>
        <v>94.795785714285714</v>
      </c>
      <c r="C4" cm="1">
        <f t="array" ref="C4">_xlfn.STDEV.S(_xlfn._xlws.FILTER(Table15[Survival],(Table15[Model]="qwen3.5:4b")*(Table15[Gen]=Table7[[#This Row],[Generation]])))/1000</f>
        <v>24.941260484815697</v>
      </c>
      <c r="D4">
        <f>AVERAGEIFS(Table15[Survival],Table15[Model],"=qwen3.5:9b",Table15[Gen],"="&amp;Table7[[#This Row],[Generation]])/1000</f>
        <v>78.415346153846158</v>
      </c>
      <c r="E4" cm="1">
        <f t="array" ref="E4">_xlfn.STDEV.S(_xlfn._xlws.FILTER(Table15[Survival],(Table15[Model]="qwen3.5:9b")*(Table15[Gen]=Table7[[#This Row],[Generation]])))/1000</f>
        <v>27.615938295352056</v>
      </c>
    </row>
    <row r="5" spans="1:5" x14ac:dyDescent="0.25">
      <c r="A5">
        <v>4</v>
      </c>
      <c r="B5">
        <f>AVERAGEIFS(Table15[Survival],Table15[Model],"=qwen3.5:4b",Table15[Gen],"="&amp;Table7[[#This Row],[Generation]])/1000</f>
        <v>90.26828571428571</v>
      </c>
      <c r="C5" cm="1">
        <f t="array" ref="C5">_xlfn.STDEV.S(_xlfn._xlws.FILTER(Table15[Survival],(Table15[Model]="qwen3.5:4b")*(Table15[Gen]=Table7[[#This Row],[Generation]])))/1000</f>
        <v>21.336815001418611</v>
      </c>
      <c r="D5">
        <f>AVERAGEIFS(Table15[Survival],Table15[Model],"=qwen3.5:9b",Table15[Gen],"="&amp;Table7[[#This Row],[Generation]])/1000</f>
        <v>79.381916666666669</v>
      </c>
      <c r="E5" cm="1">
        <f t="array" ref="E5">_xlfn.STDEV.S(_xlfn._xlws.FILTER(Table15[Survival],(Table15[Model]="qwen3.5:9b")*(Table15[Gen]=Table7[[#This Row],[Generation]])))/1000</f>
        <v>23.037332613980567</v>
      </c>
    </row>
    <row r="6" spans="1:5" x14ac:dyDescent="0.25">
      <c r="A6">
        <v>5</v>
      </c>
      <c r="B6">
        <f>AVERAGEIFS(Table15[Survival],Table15[Model],"=qwen3.5:4b",Table15[Gen],"="&amp;Table7[[#This Row],[Generation]])/1000</f>
        <v>74.977214285714297</v>
      </c>
      <c r="C6" cm="1">
        <f t="array" ref="C6">_xlfn.STDEV.S(_xlfn._xlws.FILTER(Table15[Survival],(Table15[Model]="qwen3.5:4b")*(Table15[Gen]=Table7[[#This Row],[Generation]])))/1000</f>
        <v>17.953741633842295</v>
      </c>
      <c r="D6">
        <f>AVERAGEIFS(Table15[Survival],Table15[Model],"=qwen3.5:9b",Table15[Gen],"="&amp;Table7[[#This Row],[Generation]])/1000</f>
        <v>73.675152777777782</v>
      </c>
      <c r="E6" cm="1">
        <f t="array" ref="E6">_xlfn.STDEV.S(_xlfn._xlws.FILTER(Table15[Survival],(Table15[Model]="qwen3.5:9b")*(Table15[Gen]=Table7[[#This Row],[Generation]])))/1000</f>
        <v>19.273343551098709</v>
      </c>
    </row>
    <row r="7" spans="1:5" x14ac:dyDescent="0.25">
      <c r="A7">
        <v>6</v>
      </c>
      <c r="B7">
        <f>AVERAGEIFS(Table15[Survival],Table15[Model],"=qwen3.5:4b",Table15[Gen],"="&amp;Table7[[#This Row],[Generation]])/1000</f>
        <v>72.644000000000005</v>
      </c>
      <c r="C7" cm="1">
        <f t="array" ref="C7">_xlfn.STDEV.S(_xlfn._xlws.FILTER(Table15[Survival],(Table15[Model]="qwen3.5:4b")*(Table15[Gen]=Table7[[#This Row],[Generation]])))/1000</f>
        <v>17.34874432535873</v>
      </c>
      <c r="D7">
        <f>AVERAGEIFS(Table15[Survival],Table15[Model],"=qwen3.5:9b",Table15[Gen],"="&amp;Table7[[#This Row],[Generation]])/1000</f>
        <v>85.710875000000001</v>
      </c>
      <c r="E7" cm="1">
        <f t="array" ref="E7">_xlfn.STDEV.S(_xlfn._xlws.FILTER(Table15[Survival],(Table15[Model]="qwen3.5:9b")*(Table15[Gen]=Table7[[#This Row],[Generation]])))/1000</f>
        <v>33.805156959589759</v>
      </c>
    </row>
    <row r="8" spans="1:5" x14ac:dyDescent="0.25">
      <c r="A8">
        <v>7</v>
      </c>
      <c r="B8">
        <f>AVERAGEIFS(Table15[Survival],Table15[Model],"=qwen3.5:4b",Table15[Gen],"="&amp;Table7[[#This Row],[Generation]])/1000</f>
        <v>72.866375000000005</v>
      </c>
      <c r="C8" cm="1">
        <f t="array" ref="C8">_xlfn.STDEV.S(_xlfn._xlws.FILTER(Table15[Survival],(Table15[Model]="qwen3.5:4b")*(Table15[Gen]=Table7[[#This Row],[Generation]])))/1000</f>
        <v>12.030281476168101</v>
      </c>
      <c r="D8">
        <f>AVERAGEIFS(Table15[Survival],Table15[Model],"=qwen3.5:9b",Table15[Gen],"="&amp;Table7[[#This Row],[Generation]])/1000</f>
        <v>78.638249999999999</v>
      </c>
      <c r="E8" cm="1">
        <f t="array" ref="E8">_xlfn.STDEV.S(_xlfn._xlws.FILTER(Table15[Survival],(Table15[Model]="qwen3.5:9b")*(Table15[Gen]=Table7[[#This Row],[Generation]])))/1000</f>
        <v>20.929351807529379</v>
      </c>
    </row>
    <row r="9" spans="1:5" x14ac:dyDescent="0.25">
      <c r="A9">
        <v>8</v>
      </c>
      <c r="B9">
        <f>AVERAGEIFS(Table15[Survival],Table15[Model],"=qwen3.5:4b",Table15[Gen],"="&amp;Table7[[#This Row],[Generation]])/1000</f>
        <v>81.44</v>
      </c>
      <c r="C9" cm="1">
        <f t="array" ref="C9">_xlfn.STDEV.S(_xlfn._xlws.FILTER(Table15[Survival],(Table15[Model]="qwen3.5:4b")*(Table15[Gen]=Table7[[#This Row],[Generation]])))/1000</f>
        <v>33.086177952432038</v>
      </c>
      <c r="D9">
        <f>AVERAGEIFS(Table15[Survival],Table15[Model],"=qwen3.5:9b",Table15[Gen],"="&amp;Table7[[#This Row],[Generation]])/1000</f>
        <v>63.047499999999999</v>
      </c>
      <c r="E9" cm="1">
        <f t="array" ref="E9">_xlfn.STDEV.S(_xlfn._xlws.FILTER(Table15[Survival],(Table15[Model]="qwen3.5:9b")*(Table15[Gen]=Table7[[#This Row],[Generation]])))/1000</f>
        <v>18.77152303801337</v>
      </c>
    </row>
    <row r="10" spans="1:5" x14ac:dyDescent="0.25">
      <c r="A10">
        <v>9</v>
      </c>
      <c r="B10">
        <f>AVERAGEIFS(Table15[Survival],Table15[Model],"=qwen3.5:4b",Table15[Gen],"="&amp;Table7[[#This Row],[Generation]])/1000</f>
        <v>72.440624999999997</v>
      </c>
      <c r="C10" cm="1">
        <f t="array" ref="C10">_xlfn.STDEV.S(_xlfn._xlws.FILTER(Table15[Survival],(Table15[Model]="qwen3.5:4b")*(Table15[Gen]=Table7[[#This Row],[Generation]])))/1000</f>
        <v>21.989843922346665</v>
      </c>
      <c r="D10">
        <f>AVERAGEIFS(Table15[Survival],Table15[Model],"=qwen3.5:9b",Table15[Gen],"="&amp;Table7[[#This Row],[Generation]])/1000</f>
        <v>81.424374999999998</v>
      </c>
      <c r="E10" cm="1">
        <f t="array" ref="E10">_xlfn.STDEV.S(_xlfn._xlws.FILTER(Table15[Survival],(Table15[Model]="qwen3.5:9b")*(Table15[Gen]=Table7[[#This Row],[Generation]])))/1000</f>
        <v>24.40750971994412</v>
      </c>
    </row>
    <row r="11" spans="1:5" x14ac:dyDescent="0.25">
      <c r="A11">
        <v>10</v>
      </c>
      <c r="B11">
        <f>AVERAGEIFS(Table15[Survival],Table15[Model],"=qwen3.5:4b",Table15[Gen],"="&amp;Table7[[#This Row],[Generation]])/1000</f>
        <v>79.022625000000005</v>
      </c>
      <c r="C11" cm="1">
        <f t="array" ref="C11">_xlfn.STDEV.S(_xlfn._xlws.FILTER(Table15[Survival],(Table15[Model]="qwen3.5:4b")*(Table15[Gen]=Table7[[#This Row],[Generation]])))/1000</f>
        <v>13.089539872069606</v>
      </c>
      <c r="D11">
        <f>AVERAGEIFS(Table15[Survival],Table15[Model],"=qwen3.5:9b",Table15[Gen],"="&amp;Table7[[#This Row],[Generation]])/1000</f>
        <v>80.745166666666677</v>
      </c>
      <c r="E11" cm="1">
        <f t="array" ref="E11">_xlfn.STDEV.S(_xlfn._xlws.FILTER(Table15[Survival],(Table15[Model]="qwen3.5:9b")*(Table15[Gen]=Table7[[#This Row],[Generation]])))/1000</f>
        <v>12.626051147660299</v>
      </c>
    </row>
    <row r="12" spans="1:5" x14ac:dyDescent="0.25">
      <c r="A12">
        <v>11</v>
      </c>
      <c r="B12">
        <f>AVERAGEIFS(Table15[Survival],Table15[Model],"=qwen3.5:4b",Table15[Gen],"="&amp;Table7[[#This Row],[Generation]])/1000</f>
        <v>83.925666666666672</v>
      </c>
      <c r="C12" cm="1">
        <f t="array" ref="C12">_xlfn.STDEV.S(_xlfn._xlws.FILTER(Table15[Survival],(Table15[Model]="qwen3.5:4b")*(Table15[Gen]=Table7[[#This Row],[Generation]])))/1000</f>
        <v>13.208220331798451</v>
      </c>
      <c r="D12">
        <f>AVERAGEIFS(Table15[Survival],Table15[Model],"=qwen3.5:9b",Table15[Gen],"="&amp;Table7[[#This Row],[Generation]])/1000</f>
        <v>82.83175</v>
      </c>
      <c r="E12" cm="1">
        <f t="array" ref="E12">_xlfn.STDEV.S(_xlfn._xlws.FILTER(Table15[Survival],(Table15[Model]="qwen3.5:9b")*(Table15[Gen]=Table7[[#This Row],[Generation]])))/1000</f>
        <v>46.551314279244579</v>
      </c>
    </row>
    <row r="13" spans="1:5" x14ac:dyDescent="0.25">
      <c r="A13">
        <v>12</v>
      </c>
      <c r="B13">
        <f>AVERAGEIFS(Table15[Survival],Table15[Model],"=qwen3.5:4b",Table15[Gen],"="&amp;Table7[[#This Row],[Generation]])/1000</f>
        <v>82.287000000000006</v>
      </c>
      <c r="C13" cm="1">
        <f t="array" ref="C13">_xlfn.STDEV.S(_xlfn._xlws.FILTER(Table15[Survival],(Table15[Model]="qwen3.5:4b")*(Table15[Gen]=Table7[[#This Row],[Generation]])))/1000</f>
        <v>25.136739799544412</v>
      </c>
      <c r="D13">
        <f>AVERAGEIFS(Table15[Survival],Table15[Model],"=qwen3.5:9b",Table15[Gen],"="&amp;Table7[[#This Row],[Generation]])/1000</f>
        <v>90.057500000000005</v>
      </c>
      <c r="E13" cm="1">
        <f t="array" ref="E13">_xlfn.STDEV.S(_xlfn._xlws.FILTER(Table15[Survival],(Table15[Model]="qwen3.5:9b")*(Table15[Gen]=Table7[[#This Row],[Generation]])))/1000</f>
        <v>24.57903171404439</v>
      </c>
    </row>
    <row r="14" spans="1:5" x14ac:dyDescent="0.25">
      <c r="A14">
        <v>13</v>
      </c>
      <c r="B14">
        <f>AVERAGEIFS(Table15[Survival],Table15[Model],"=qwen3.5:4b",Table15[Gen],"="&amp;Table7[[#This Row],[Generation]])/1000</f>
        <v>70.404166666666669</v>
      </c>
      <c r="C14" cm="1">
        <f t="array" ref="C14">_xlfn.STDEV.S(_xlfn._xlws.FILTER(Table15[Survival],(Table15[Model]="qwen3.5:4b")*(Table15[Gen]=Table7[[#This Row],[Generation]])))/1000</f>
        <v>11.593959734850429</v>
      </c>
      <c r="D14">
        <f>AVERAGEIFS(Table15[Survival],Table15[Model],"=qwen3.5:9b",Table15[Gen],"="&amp;Table7[[#This Row],[Generation]])/1000</f>
        <v>71.057749999999999</v>
      </c>
      <c r="E14" cm="1">
        <f t="array" ref="E14">_xlfn.STDEV.S(_xlfn._xlws.FILTER(Table15[Survival],(Table15[Model]="qwen3.5:9b")*(Table15[Gen]=Table7[[#This Row],[Generation]])))/1000</f>
        <v>31.538730207872984</v>
      </c>
    </row>
    <row r="15" spans="1:5" x14ac:dyDescent="0.25">
      <c r="A15">
        <v>14</v>
      </c>
      <c r="B15">
        <f>AVERAGEIFS(Table15[Survival],Table15[Model],"=qwen3.5:4b",Table15[Gen],"="&amp;Table7[[#This Row],[Generation]])/1000</f>
        <v>76.884</v>
      </c>
      <c r="C15" cm="1">
        <f t="array" ref="C15">_xlfn.STDEV.S(_xlfn._xlws.FILTER(Table15[Survival],(Table15[Model]="qwen3.5:4b")*(Table15[Gen]=Table7[[#This Row],[Generation]])))/1000</f>
        <v>26.602694731925183</v>
      </c>
      <c r="D15">
        <f>AVERAGEIFS(Table15[Survival],Table15[Model],"=qwen3.5:9b",Table15[Gen],"="&amp;Table7[[#This Row],[Generation]])/1000</f>
        <v>69.910250000000005</v>
      </c>
      <c r="E15" cm="1">
        <f t="array" ref="E15">_xlfn.STDEV.S(_xlfn._xlws.FILTER(Table15[Survival],(Table15[Model]="qwen3.5:9b")*(Table15[Gen]=Table7[[#This Row],[Generation]])))/1000</f>
        <v>22.020365826320869</v>
      </c>
    </row>
    <row r="16" spans="1:5" x14ac:dyDescent="0.25">
      <c r="A16">
        <v>15</v>
      </c>
      <c r="B16">
        <f>AVERAGEIFS(Table15[Survival],Table15[Model],"=qwen3.5:4b",Table15[Gen],"="&amp;Table7[[#This Row],[Generation]])/1000</f>
        <v>93.673500000000004</v>
      </c>
      <c r="C16" cm="1">
        <f t="array" ref="C16">_xlfn.STDEV.S(_xlfn._xlws.FILTER(Table15[Survival],(Table15[Model]="qwen3.5:4b")*(Table15[Gen]=Table7[[#This Row],[Generation]])))/1000</f>
        <v>51.615259492712035</v>
      </c>
      <c r="D16">
        <f>AVERAGEIFS(Table15[Survival],Table15[Model],"=qwen3.5:9b",Table15[Gen],"="&amp;Table7[[#This Row],[Generation]])/1000</f>
        <v>75.061750000000004</v>
      </c>
      <c r="E16" cm="1">
        <f t="array" ref="E16">_xlfn.STDEV.S(_xlfn._xlws.FILTER(Table15[Survival],(Table15[Model]="qwen3.5:9b")*(Table15[Gen]=Table7[[#This Row],[Generation]])))/1000</f>
        <v>6.465430853779198</v>
      </c>
    </row>
    <row r="17" spans="1:5" x14ac:dyDescent="0.25">
      <c r="A17">
        <v>16</v>
      </c>
      <c r="B17">
        <f>AVERAGEIFS(Table15[Survival],Table15[Model],"=qwen3.5:4b",Table15[Gen],"="&amp;Table7[[#This Row],[Generation]])/1000</f>
        <v>71.744</v>
      </c>
      <c r="C17" cm="1">
        <f t="array" ref="C17">_xlfn.STDEV.S(_xlfn._xlws.FILTER(Table15[Survival],(Table15[Model]="qwen3.5:4b")*(Table15[Gen]=Table7[[#This Row],[Generation]])))/1000</f>
        <v>22.020012272930273</v>
      </c>
      <c r="D17">
        <f>AVERAGEIFS(Table15[Survival],Table15[Model],"=qwen3.5:9b",Table15[Gen],"="&amp;Table7[[#This Row],[Generation]])/1000</f>
        <v>68.358000000000004</v>
      </c>
      <c r="E17" cm="1">
        <f t="array" ref="E17">_xlfn.STDEV.S(_xlfn._xlws.FILTER(Table15[Survival],(Table15[Model]="qwen3.5:9b")*(Table15[Gen]=Table7[[#This Row],[Generation]])))/1000</f>
        <v>24.546504802109812</v>
      </c>
    </row>
    <row r="18" spans="1:5" x14ac:dyDescent="0.25">
      <c r="A18">
        <v>17</v>
      </c>
      <c r="B18">
        <f>AVERAGEIFS(Table15[Survival],Table15[Model],"=qwen3.5:4b",Table15[Gen],"="&amp;Table7[[#This Row],[Generation]])/1000</f>
        <v>77.55</v>
      </c>
      <c r="C18" cm="1">
        <f t="array" ref="C18">_xlfn.STDEV.S(_xlfn._xlws.FILTER(Table15[Survival],(Table15[Model]="qwen3.5:4b")*(Table15[Gen]=Table7[[#This Row],[Generation]])))/1000</f>
        <v>30.627623120314119</v>
      </c>
      <c r="D18">
        <f>AVERAGEIFS(Table15[Survival],Table15[Model],"=qwen3.5:9b",Table15[Gen],"="&amp;Table7[[#This Row],[Generation]])/1000</f>
        <v>77.639499999999998</v>
      </c>
      <c r="E18" cm="1">
        <f t="array" ref="E18">_xlfn.STDEV.S(_xlfn._xlws.FILTER(Table15[Survival],(Table15[Model]="qwen3.5:9b")*(Table15[Gen]=Table7[[#This Row],[Generation]])))/1000</f>
        <v>7.167234334106845</v>
      </c>
    </row>
    <row r="19" spans="1:5" x14ac:dyDescent="0.25">
      <c r="A19">
        <v>18</v>
      </c>
      <c r="B19">
        <f>AVERAGEIFS(Table15[Survival],Table15[Model],"=qwen3.5:4b",Table15[Gen],"="&amp;Table7[[#This Row],[Generation]])/1000</f>
        <v>80.186499999999995</v>
      </c>
      <c r="C19" cm="1">
        <f t="array" ref="C19">_xlfn.STDEV.S(_xlfn._xlws.FILTER(Table15[Survival],(Table15[Model]="qwen3.5:4b")*(Table15[Gen]=Table7[[#This Row],[Generation]])))/1000</f>
        <v>28.767225179012311</v>
      </c>
      <c r="D19">
        <f>AVERAGEIFS(Table15[Survival],Table15[Model],"=qwen3.5:9b",Table15[Gen],"="&amp;Table7[[#This Row],[Generation]])/1000</f>
        <v>83.924999999999997</v>
      </c>
      <c r="E19" cm="1">
        <f t="array" ref="E19">_xlfn.STDEV.S(_xlfn._xlws.FILTER(Table15[Survival],(Table15[Model]="qwen3.5:9b")*(Table15[Gen]=Table7[[#This Row],[Generation]])))/1000</f>
        <v>18.340228583635483</v>
      </c>
    </row>
    <row r="20" spans="1:5" x14ac:dyDescent="0.25">
      <c r="A20">
        <v>19</v>
      </c>
      <c r="B20">
        <f>AVERAGEIFS(Table15[Survival],Table15[Model],"=qwen3.5:4b",Table15[Gen],"="&amp;Table7[[#This Row],[Generation]])/1000</f>
        <v>78.152249999999995</v>
      </c>
      <c r="C20" cm="1">
        <f t="array" ref="C20">_xlfn.STDEV.S(_xlfn._xlws.FILTER(Table15[Survival],(Table15[Model]="qwen3.5:4b")*(Table15[Gen]=Table7[[#This Row],[Generation]])))/1000</f>
        <v>32.30806238580395</v>
      </c>
      <c r="D20">
        <f>AVERAGEIFS(Table15[Survival],Table15[Model],"=qwen3.5:9b",Table15[Gen],"="&amp;Table7[[#This Row],[Generation]])/1000</f>
        <v>62.191000000000003</v>
      </c>
      <c r="E20" cm="1">
        <f t="array" ref="E20">_xlfn.STDEV.S(_xlfn._xlws.FILTER(Table15[Survival],(Table15[Model]="qwen3.5:9b")*(Table15[Gen]=Table7[[#This Row],[Generation]])))/1000</f>
        <v>17.946370106514575</v>
      </c>
    </row>
    <row r="21" spans="1:5" x14ac:dyDescent="0.25">
      <c r="A21">
        <v>20</v>
      </c>
      <c r="B21">
        <f>AVERAGEIFS(Table15[Survival],Table15[Model],"=qwen3.5:4b",Table15[Gen],"="&amp;Table7[[#This Row],[Generation]])/1000</f>
        <v>79.260750000000002</v>
      </c>
      <c r="C21" cm="1">
        <f t="array" ref="C21">_xlfn.STDEV.S(_xlfn._xlws.FILTER(Table15[Survival],(Table15[Model]="qwen3.5:4b")*(Table15[Gen]=Table7[[#This Row],[Generation]])))/1000</f>
        <v>12.922729979574749</v>
      </c>
      <c r="D21">
        <f>AVERAGEIFS(Table15[Survival],Table15[Model],"=qwen3.5:9b",Table15[Gen],"="&amp;Table7[[#This Row],[Generation]])/1000</f>
        <v>70.461749999999995</v>
      </c>
      <c r="E21" cm="1">
        <f t="array" ref="E21">_xlfn.STDEV.S(_xlfn._xlws.FILTER(Table15[Survival],(Table15[Model]="qwen3.5:9b")*(Table15[Gen]=Table7[[#This Row],[Generation]])))/1000</f>
        <v>1.988737822087165</v>
      </c>
    </row>
    <row r="25" spans="1:5" x14ac:dyDescent="0.25">
      <c r="A25" t="s">
        <v>36</v>
      </c>
      <c r="B25" t="s">
        <v>66</v>
      </c>
      <c r="C25" t="s">
        <v>67</v>
      </c>
      <c r="D25" t="s">
        <v>68</v>
      </c>
      <c r="E25" t="s">
        <v>69</v>
      </c>
    </row>
    <row r="26" spans="1:5" x14ac:dyDescent="0.25">
      <c r="A26">
        <v>1</v>
      </c>
      <c r="B26">
        <f>AVERAGEIFS(Table15[Survival],Table15[StartingSkills],TRUE,Table15[Gen],"="&amp;Table74[[#This Row],[Generation]])/1000</f>
        <v>93.246029411764695</v>
      </c>
      <c r="C26" cm="1">
        <f t="array" ref="C26">_xlfn.STDEV.S(_xlfn._xlws.FILTER(Table15[Survival],(Table15[StartingSkills]=TRUE)*(Table15[Gen]=Table74[[#This Row],[Generation]])))/1000</f>
        <v>25.336860913200059</v>
      </c>
      <c r="D26">
        <f>AVERAGEIFS(Table15[Survival],Table15[StartingSkills],FALSE,Table15[Gen],"="&amp;Table74[[#This Row],[Generation]])/1000</f>
        <v>63.156666666666666</v>
      </c>
      <c r="E26" cm="1">
        <f t="array" ref="E26">_xlfn.STDEV.S(_xlfn._xlws.FILTER(Table15[Survival],(Table15[StartingSkills]=FALSE)*(Table15[Gen]=Table74[[#This Row],[Generation]])))/1000</f>
        <v>15.154405411188735</v>
      </c>
    </row>
    <row r="27" spans="1:5" x14ac:dyDescent="0.25">
      <c r="A27">
        <v>2</v>
      </c>
      <c r="B27">
        <f>AVERAGEIFS(Table15[Survival],Table15[StartingSkills],TRUE,Table15[Gen],"="&amp;Table74[[#This Row],[Generation]])/1000</f>
        <v>82.44370588235293</v>
      </c>
      <c r="C27" cm="1">
        <f t="array" ref="C27">_xlfn.STDEV.S(_xlfn._xlws.FILTER(Table15[Survival],(Table15[StartingSkills]=TRUE)*(Table15[Gen]=Table74[[#This Row],[Generation]])))/1000</f>
        <v>24.402032970403184</v>
      </c>
      <c r="D27">
        <f>AVERAGEIFS(Table15[Survival],Table15[StartingSkills],FALSE,Table15[Gen],"="&amp;Table74[[#This Row],[Generation]])/1000</f>
        <v>76.134833333333333</v>
      </c>
      <c r="E27" cm="1">
        <f t="array" ref="E27">_xlfn.STDEV.S(_xlfn._xlws.FILTER(Table15[Survival],(Table15[StartingSkills]=FALSE)*(Table15[Gen]=Table74[[#This Row],[Generation]])))/1000</f>
        <v>31.151015563969455</v>
      </c>
    </row>
    <row r="28" spans="1:5" x14ac:dyDescent="0.25">
      <c r="A28">
        <v>3</v>
      </c>
      <c r="B28">
        <f>AVERAGEIFS(Table15[Survival],Table15[StartingSkills],TRUE,Table15[Gen],"="&amp;Table74[[#This Row],[Generation]])/1000</f>
        <v>88.530441176470589</v>
      </c>
      <c r="C28" cm="1">
        <f t="array" ref="C28">_xlfn.STDEV.S(_xlfn._xlws.FILTER(Table15[Survival],(Table15[StartingSkills]=TRUE)*(Table15[Gen]=Table74[[#This Row],[Generation]])))/1000</f>
        <v>26.997239545161346</v>
      </c>
      <c r="D28">
        <f>AVERAGEIFS(Table15[Survival],Table15[StartingSkills],FALSE,Table15[Gen],"="&amp;Table74[[#This Row],[Generation]])/1000</f>
        <v>81.541583333333335</v>
      </c>
      <c r="E28" cm="1">
        <f t="array" ref="E28">_xlfn.STDEV.S(_xlfn._xlws.FILTER(Table15[Survival],(Table15[StartingSkills]=FALSE)*(Table15[Gen]=Table74[[#This Row],[Generation]])))/1000</f>
        <v>30.298833415523891</v>
      </c>
    </row>
    <row r="29" spans="1:5" x14ac:dyDescent="0.25">
      <c r="A29">
        <v>4</v>
      </c>
      <c r="B29">
        <f>AVERAGEIFS(Table15[Survival],Table15[StartingSkills],TRUE,Table15[Gen],"="&amp;Table74[[#This Row],[Generation]])/1000</f>
        <v>91.281588235294109</v>
      </c>
      <c r="C29" cm="1">
        <f t="array" ref="C29">_xlfn.STDEV.S(_xlfn._xlws.FILTER(Table15[Survival],(Table15[StartingSkills]=TRUE)*(Table15[Gen]=Table74[[#This Row],[Generation]])))/1000</f>
        <v>25.545353964003752</v>
      </c>
      <c r="D29">
        <f>AVERAGEIFS(Table15[Survival],Table15[StartingSkills],FALSE,Table15[Gen],"="&amp;Table74[[#This Row],[Generation]])/1000</f>
        <v>79.099500000000006</v>
      </c>
      <c r="E29" cm="1">
        <f t="array" ref="E29">_xlfn.STDEV.S(_xlfn._xlws.FILTER(Table15[Survival],(Table15[StartingSkills]=FALSE)*(Table15[Gen]=Table74[[#This Row],[Generation]])))/1000</f>
        <v>29.853069270595949</v>
      </c>
    </row>
    <row r="30" spans="1:5" x14ac:dyDescent="0.25">
      <c r="A30">
        <v>5</v>
      </c>
      <c r="B30">
        <f>AVERAGEIFS(Table15[Survival],Table15[StartingSkills],TRUE,Table15[Gen],"="&amp;Table74[[#This Row],[Generation]])/1000</f>
        <v>78.297843137254901</v>
      </c>
      <c r="C30" cm="1">
        <f t="array" ref="C30">_xlfn.STDEV.S(_xlfn._xlws.FILTER(Table15[Survival],(Table15[StartingSkills]=TRUE)*(Table15[Gen]=Table74[[#This Row],[Generation]])))/1000</f>
        <v>21.576287987535743</v>
      </c>
      <c r="D30">
        <f>AVERAGEIFS(Table15[Survival],Table15[StartingSkills],FALSE,Table15[Gen],"="&amp;Table74[[#This Row],[Generation]])/1000</f>
        <v>81.255375000000001</v>
      </c>
      <c r="E30" cm="1">
        <f t="array" ref="E30">_xlfn.STDEV.S(_xlfn._xlws.FILTER(Table15[Survival],(Table15[StartingSkills]=FALSE)*(Table15[Gen]=Table74[[#This Row],[Generation]])))/1000</f>
        <v>32.040350745518275</v>
      </c>
    </row>
    <row r="31" spans="1:5" x14ac:dyDescent="0.25">
      <c r="A31">
        <v>6</v>
      </c>
      <c r="B31">
        <f>AVERAGEIFS(Table15[Survival],Table15[StartingSkills],TRUE,Table15[Gen],"="&amp;Table74[[#This Row],[Generation]])/1000</f>
        <v>73.400600000000011</v>
      </c>
      <c r="C31" cm="1">
        <f t="array" ref="C31">_xlfn.STDEV.S(_xlfn._xlws.FILTER(Table15[Survival],(Table15[StartingSkills]=TRUE)*(Table15[Gen]=Table74[[#This Row],[Generation]])))/1000</f>
        <v>15.11940524789253</v>
      </c>
      <c r="D31">
        <f>AVERAGEIFS(Table15[Survival],Table15[StartingSkills],FALSE,Table15[Gen],"="&amp;Table74[[#This Row],[Generation]])/1000</f>
        <v>88.805499999999995</v>
      </c>
      <c r="E31" cm="1">
        <f t="array" ref="E31">_xlfn.STDEV.S(_xlfn._xlws.FILTER(Table15[Survival],(Table15[StartingSkills]=FALSE)*(Table15[Gen]=Table74[[#This Row],[Generation]])))/1000</f>
        <v>40.70285901813287</v>
      </c>
    </row>
    <row r="32" spans="1:5" x14ac:dyDescent="0.25">
      <c r="A32">
        <v>7</v>
      </c>
      <c r="B32">
        <f>AVERAGEIFS(Table15[Survival],Table15[StartingSkills],TRUE,Table15[Gen],"="&amp;Table74[[#This Row],[Generation]])/1000</f>
        <v>74.17880000000001</v>
      </c>
      <c r="C32" cm="1">
        <f t="array" ref="C32">_xlfn.STDEV.S(_xlfn._xlws.FILTER(Table15[Survival],(Table15[StartingSkills]=TRUE)*(Table15[Gen]=Table74[[#This Row],[Generation]])))/1000</f>
        <v>10.823957280033943</v>
      </c>
      <c r="D32">
        <f>AVERAGEIFS(Table15[Survival],Table15[StartingSkills],FALSE,Table15[Gen],"="&amp;Table74[[#This Row],[Generation]])/1000</f>
        <v>78.374833333333328</v>
      </c>
      <c r="E32" cm="1">
        <f t="array" ref="E32">_xlfn.STDEV.S(_xlfn._xlws.FILTER(Table15[Survival],(Table15[StartingSkills]=FALSE)*(Table15[Gen]=Table74[[#This Row],[Generation]])))/1000</f>
        <v>25.624994060161928</v>
      </c>
    </row>
    <row r="33" spans="1:5" x14ac:dyDescent="0.25">
      <c r="A33">
        <v>8</v>
      </c>
      <c r="B33">
        <f>AVERAGEIFS(Table15[Survival],Table15[StartingSkills],TRUE,Table15[Gen],"="&amp;Table74[[#This Row],[Generation]])/1000</f>
        <v>75.956699999999998</v>
      </c>
      <c r="C33" cm="1">
        <f t="array" ref="C33">_xlfn.STDEV.S(_xlfn._xlws.FILTER(Table15[Survival],(Table15[StartingSkills]=TRUE)*(Table15[Gen]=Table74[[#This Row],[Generation]])))/1000</f>
        <v>31.166556965359515</v>
      </c>
      <c r="D33">
        <f>AVERAGEIFS(Table15[Survival],Table15[StartingSkills],FALSE,Table15[Gen],"="&amp;Table74[[#This Row],[Generation]])/1000</f>
        <v>66.055499999999995</v>
      </c>
      <c r="E33" cm="1">
        <f t="array" ref="E33">_xlfn.STDEV.S(_xlfn._xlws.FILTER(Table15[Survival],(Table15[StartingSkills]=FALSE)*(Table15[Gen]=Table74[[#This Row],[Generation]])))/1000</f>
        <v>21.77766589306577</v>
      </c>
    </row>
    <row r="34" spans="1:5" x14ac:dyDescent="0.25">
      <c r="A34">
        <v>9</v>
      </c>
      <c r="B34">
        <f>AVERAGEIFS(Table15[Survival],Table15[StartingSkills],TRUE,Table15[Gen],"="&amp;Table74[[#This Row],[Generation]])/1000</f>
        <v>74.506100000000004</v>
      </c>
      <c r="C34" cm="1">
        <f t="array" ref="C34">_xlfn.STDEV.S(_xlfn._xlws.FILTER(Table15[Survival],(Table15[StartingSkills]=TRUE)*(Table15[Gen]=Table74[[#This Row],[Generation]])))/1000</f>
        <v>19.595812350474276</v>
      </c>
      <c r="D34">
        <f>AVERAGEIFS(Table15[Survival],Table15[StartingSkills],FALSE,Table15[Gen],"="&amp;Table74[[#This Row],[Generation]])/1000</f>
        <v>80.976500000000001</v>
      </c>
      <c r="E34" cm="1">
        <f t="array" ref="E34">_xlfn.STDEV.S(_xlfn._xlws.FILTER(Table15[Survival],(Table15[StartingSkills]=FALSE)*(Table15[Gen]=Table74[[#This Row],[Generation]])))/1000</f>
        <v>29.872834549135106</v>
      </c>
    </row>
    <row r="35" spans="1:5" x14ac:dyDescent="0.25">
      <c r="A35">
        <v>10</v>
      </c>
      <c r="B35">
        <f>AVERAGEIFS(Table15[Survival],Table15[StartingSkills],TRUE,Table15[Gen],"="&amp;Table74[[#This Row],[Generation]])/1000</f>
        <v>79.966700000000003</v>
      </c>
      <c r="C35" cm="1">
        <f t="array" ref="C35">_xlfn.STDEV.S(_xlfn._xlws.FILTER(Table15[Survival],(Table15[StartingSkills]=TRUE)*(Table15[Gen]=Table74[[#This Row],[Generation]])))/1000</f>
        <v>11.530760103956712</v>
      </c>
      <c r="D35">
        <f>AVERAGEIFS(Table15[Survival],Table15[StartingSkills],FALSE,Table15[Gen],"="&amp;Table74[[#This Row],[Generation]])/1000</f>
        <v>79.246250000000003</v>
      </c>
      <c r="E35" cm="1">
        <f t="array" ref="E35">_xlfn.STDEV.S(_xlfn._xlws.FILTER(Table15[Survival],(Table15[StartingSkills]=FALSE)*(Table15[Gen]=Table74[[#This Row],[Generation]])))/1000</f>
        <v>17.474376330072555</v>
      </c>
    </row>
    <row r="36" spans="1:5" x14ac:dyDescent="0.25">
      <c r="A36">
        <v>11</v>
      </c>
      <c r="B36">
        <f>AVERAGEIFS(Table15[Survival],Table15[StartingSkills],TRUE,Table15[Gen],"="&amp;Table74[[#This Row],[Generation]])/1000</f>
        <v>83.925666666666672</v>
      </c>
      <c r="C36" cm="1">
        <f t="array" ref="C36">_xlfn.STDEV.S(_xlfn._xlws.FILTER(Table15[Survival],(Table15[StartingSkills]=TRUE)*(Table15[Gen]=Table74[[#This Row],[Generation]])))/1000</f>
        <v>13.208220331798451</v>
      </c>
      <c r="D36">
        <f>AVERAGEIFS(Table15[Survival],Table15[StartingSkills],FALSE,Table15[Gen],"="&amp;Table74[[#This Row],[Generation]])/1000</f>
        <v>82.83175</v>
      </c>
      <c r="E36" cm="1">
        <f t="array" ref="E36">_xlfn.STDEV.S(_xlfn._xlws.FILTER(Table15[Survival],(Table15[StartingSkills]=FALSE)*(Table15[Gen]=Table74[[#This Row],[Generation]])))/1000</f>
        <v>46.551314279244579</v>
      </c>
    </row>
    <row r="37" spans="1:5" x14ac:dyDescent="0.25">
      <c r="A37">
        <v>12</v>
      </c>
      <c r="B37">
        <f>AVERAGEIFS(Table15[Survival],Table15[StartingSkills],TRUE,Table15[Gen],"="&amp;Table74[[#This Row],[Generation]])/1000</f>
        <v>82.287000000000006</v>
      </c>
      <c r="C37" cm="1">
        <f t="array" ref="C37">_xlfn.STDEV.S(_xlfn._xlws.FILTER(Table15[Survival],(Table15[StartingSkills]=TRUE)*(Table15[Gen]=Table74[[#This Row],[Generation]])))/1000</f>
        <v>25.136739799544412</v>
      </c>
      <c r="D37">
        <f>AVERAGEIFS(Table15[Survival],Table15[StartingSkills],FALSE,Table15[Gen],"="&amp;Table74[[#This Row],[Generation]])/1000</f>
        <v>90.057500000000005</v>
      </c>
      <c r="E37" cm="1">
        <f t="array" ref="E37">_xlfn.STDEV.S(_xlfn._xlws.FILTER(Table15[Survival],(Table15[StartingSkills]=FALSE)*(Table15[Gen]=Table74[[#This Row],[Generation]])))/1000</f>
        <v>24.57903171404439</v>
      </c>
    </row>
    <row r="38" spans="1:5" x14ac:dyDescent="0.25">
      <c r="A38">
        <v>13</v>
      </c>
      <c r="B38">
        <f>AVERAGEIFS(Table15[Survival],Table15[StartingSkills],TRUE,Table15[Gen],"="&amp;Table74[[#This Row],[Generation]])/1000</f>
        <v>70.404166666666669</v>
      </c>
      <c r="C38" cm="1">
        <f t="array" ref="C38">_xlfn.STDEV.S(_xlfn._xlws.FILTER(Table15[Survival],(Table15[StartingSkills]=TRUE)*(Table15[Gen]=Table74[[#This Row],[Generation]])))/1000</f>
        <v>11.593959734850429</v>
      </c>
      <c r="D38">
        <f>AVERAGEIFS(Table15[Survival],Table15[StartingSkills],FALSE,Table15[Gen],"="&amp;Table74[[#This Row],[Generation]])/1000</f>
        <v>71.057749999999999</v>
      </c>
      <c r="E38" cm="1">
        <f t="array" ref="E38">_xlfn.STDEV.S(_xlfn._xlws.FILTER(Table15[Survival],(Table15[StartingSkills]=FALSE)*(Table15[Gen]=Table74[[#This Row],[Generation]])))/1000</f>
        <v>31.538730207872984</v>
      </c>
    </row>
    <row r="39" spans="1:5" x14ac:dyDescent="0.25">
      <c r="A39">
        <v>14</v>
      </c>
      <c r="B39">
        <f>AVERAGEIFS(Table15[Survival],Table15[StartingSkills],TRUE,Table15[Gen],"="&amp;Table74[[#This Row],[Generation]])/1000</f>
        <v>76.884</v>
      </c>
      <c r="C39" cm="1">
        <f t="array" ref="C39">_xlfn.STDEV.S(_xlfn._xlws.FILTER(Table15[Survival],(Table15[StartingSkills]=TRUE)*(Table15[Gen]=Table74[[#This Row],[Generation]])))/1000</f>
        <v>26.602694731925183</v>
      </c>
      <c r="D39">
        <f>AVERAGEIFS(Table15[Survival],Table15[StartingSkills],FALSE,Table15[Gen],"="&amp;Table74[[#This Row],[Generation]])/1000</f>
        <v>69.910250000000005</v>
      </c>
      <c r="E39" cm="1">
        <f t="array" ref="E39">_xlfn.STDEV.S(_xlfn._xlws.FILTER(Table15[Survival],(Table15[StartingSkills]=FALSE)*(Table15[Gen]=Table74[[#This Row],[Generation]])))/1000</f>
        <v>22.020365826320869</v>
      </c>
    </row>
    <row r="40" spans="1:5" x14ac:dyDescent="0.25">
      <c r="A40">
        <v>15</v>
      </c>
      <c r="B40">
        <f>AVERAGEIFS(Table15[Survival],Table15[StartingSkills],TRUE,Table15[Gen],"="&amp;Table74[[#This Row],[Generation]])/1000</f>
        <v>93.673500000000004</v>
      </c>
      <c r="C40" cm="1">
        <f t="array" ref="C40">_xlfn.STDEV.S(_xlfn._xlws.FILTER(Table15[Survival],(Table15[StartingSkills]=TRUE)*(Table15[Gen]=Table74[[#This Row],[Generation]])))/1000</f>
        <v>51.615259492712035</v>
      </c>
      <c r="D40">
        <f>AVERAGEIFS(Table15[Survival],Table15[StartingSkills],FALSE,Table15[Gen],"="&amp;Table74[[#This Row],[Generation]])/1000</f>
        <v>75.061750000000004</v>
      </c>
      <c r="E40" cm="1">
        <f t="array" ref="E40">_xlfn.STDEV.S(_xlfn._xlws.FILTER(Table15[Survival],(Table15[StartingSkills]=FALSE)*(Table15[Gen]=Table74[[#This Row],[Generation]])))/1000</f>
        <v>6.465430853779198</v>
      </c>
    </row>
    <row r="41" spans="1:5" x14ac:dyDescent="0.25">
      <c r="A41">
        <v>16</v>
      </c>
      <c r="B41">
        <f>AVERAGEIFS(Table15[Survival],Table15[StartingSkills],TRUE,Table15[Gen],"="&amp;Table74[[#This Row],[Generation]])/1000</f>
        <v>71.744</v>
      </c>
      <c r="C41" cm="1">
        <f t="array" ref="C41">_xlfn.STDEV.S(_xlfn._xlws.FILTER(Table15[Survival],(Table15[StartingSkills]=TRUE)*(Table15[Gen]=Table74[[#This Row],[Generation]])))/1000</f>
        <v>22.020012272930273</v>
      </c>
      <c r="D41">
        <f>AVERAGEIFS(Table15[Survival],Table15[StartingSkills],FALSE,Table15[Gen],"="&amp;Table74[[#This Row],[Generation]])/1000</f>
        <v>68.358000000000004</v>
      </c>
      <c r="E41" cm="1">
        <f t="array" ref="E41">_xlfn.STDEV.S(_xlfn._xlws.FILTER(Table15[Survival],(Table15[StartingSkills]=FALSE)*(Table15[Gen]=Table74[[#This Row],[Generation]])))/1000</f>
        <v>24.546504802109812</v>
      </c>
    </row>
    <row r="42" spans="1:5" x14ac:dyDescent="0.25">
      <c r="A42">
        <v>17</v>
      </c>
      <c r="B42">
        <f>AVERAGEIFS(Table15[Survival],Table15[StartingSkills],TRUE,Table15[Gen],"="&amp;Table74[[#This Row],[Generation]])/1000</f>
        <v>77.55</v>
      </c>
      <c r="C42" cm="1">
        <f t="array" ref="C42">_xlfn.STDEV.S(_xlfn._xlws.FILTER(Table15[Survival],(Table15[StartingSkills]=TRUE)*(Table15[Gen]=Table74[[#This Row],[Generation]])))/1000</f>
        <v>30.627623120314119</v>
      </c>
      <c r="D42">
        <f>AVERAGEIFS(Table15[Survival],Table15[StartingSkills],FALSE,Table15[Gen],"="&amp;Table74[[#This Row],[Generation]])/1000</f>
        <v>77.639499999999998</v>
      </c>
      <c r="E42" cm="1">
        <f t="array" ref="E42">_xlfn.STDEV.S(_xlfn._xlws.FILTER(Table15[Survival],(Table15[StartingSkills]=FALSE)*(Table15[Gen]=Table74[[#This Row],[Generation]])))/1000</f>
        <v>7.167234334106845</v>
      </c>
    </row>
    <row r="43" spans="1:5" x14ac:dyDescent="0.25">
      <c r="A43">
        <v>18</v>
      </c>
      <c r="B43">
        <f>AVERAGEIFS(Table15[Survival],Table15[StartingSkills],TRUE,Table15[Gen],"="&amp;Table74[[#This Row],[Generation]])/1000</f>
        <v>80.186499999999995</v>
      </c>
      <c r="C43" cm="1">
        <f t="array" ref="C43">_xlfn.STDEV.S(_xlfn._xlws.FILTER(Table15[Survival],(Table15[StartingSkills]=TRUE)*(Table15[Gen]=Table74[[#This Row],[Generation]])))/1000</f>
        <v>28.767225179012311</v>
      </c>
      <c r="D43">
        <f>AVERAGEIFS(Table15[Survival],Table15[StartingSkills],FALSE,Table15[Gen],"="&amp;Table74[[#This Row],[Generation]])/1000</f>
        <v>83.924999999999997</v>
      </c>
      <c r="E43" cm="1">
        <f t="array" ref="E43">_xlfn.STDEV.S(_xlfn._xlws.FILTER(Table15[Survival],(Table15[StartingSkills]=FALSE)*(Table15[Gen]=Table74[[#This Row],[Generation]])))/1000</f>
        <v>18.340228583635483</v>
      </c>
    </row>
    <row r="44" spans="1:5" x14ac:dyDescent="0.25">
      <c r="A44">
        <v>19</v>
      </c>
      <c r="B44">
        <f>AVERAGEIFS(Table15[Survival],Table15[StartingSkills],TRUE,Table15[Gen],"="&amp;Table74[[#This Row],[Generation]])/1000</f>
        <v>78.152249999999995</v>
      </c>
      <c r="C44" cm="1">
        <f t="array" ref="C44">_xlfn.STDEV.S(_xlfn._xlws.FILTER(Table15[Survival],(Table15[StartingSkills]=TRUE)*(Table15[Gen]=Table74[[#This Row],[Generation]])))/1000</f>
        <v>32.30806238580395</v>
      </c>
      <c r="D44">
        <f>AVERAGEIFS(Table15[Survival],Table15[StartingSkills],FALSE,Table15[Gen],"="&amp;Table74[[#This Row],[Generation]])/1000</f>
        <v>62.191000000000003</v>
      </c>
      <c r="E44" cm="1">
        <f t="array" ref="E44">_xlfn.STDEV.S(_xlfn._xlws.FILTER(Table15[Survival],(Table15[StartingSkills]=FALSE)*(Table15[Gen]=Table74[[#This Row],[Generation]])))/1000</f>
        <v>17.946370106514575</v>
      </c>
    </row>
    <row r="45" spans="1:5" x14ac:dyDescent="0.25">
      <c r="A45">
        <v>20</v>
      </c>
      <c r="B45">
        <f>AVERAGEIFS(Table15[Survival],Table15[StartingSkills],TRUE,Table15[Gen],"="&amp;Table74[[#This Row],[Generation]])/1000</f>
        <v>79.260750000000002</v>
      </c>
      <c r="C45" cm="1">
        <f t="array" ref="C45">_xlfn.STDEV.S(_xlfn._xlws.FILTER(Table15[Survival],(Table15[StartingSkills]=TRUE)*(Table15[Gen]=Table74[[#This Row],[Generation]])))/1000</f>
        <v>12.922729979574749</v>
      </c>
      <c r="D45">
        <f>AVERAGEIFS(Table15[Survival],Table15[StartingSkills],FALSE,Table15[Gen],"="&amp;Table74[[#This Row],[Generation]])/1000</f>
        <v>70.461749999999995</v>
      </c>
      <c r="E45" cm="1">
        <f t="array" ref="E45">_xlfn.STDEV.S(_xlfn._xlws.FILTER(Table15[Survival],(Table15[StartingSkills]=FALSE)*(Table15[Gen]=Table74[[#This Row],[Generation]])))/1000</f>
        <v>1.988737822087165</v>
      </c>
    </row>
    <row r="49" spans="1:3" x14ac:dyDescent="0.25">
      <c r="A49" t="s">
        <v>36</v>
      </c>
      <c r="B49" t="s">
        <v>62</v>
      </c>
      <c r="C49" t="s">
        <v>70</v>
      </c>
    </row>
    <row r="50" spans="1:3" x14ac:dyDescent="0.25">
      <c r="A50">
        <v>1</v>
      </c>
      <c r="B50">
        <f>AVERAGEIFS(Table15[SkillsGen],Table15[StartingSkills],FALSE,Table15[Gen],"="&amp;Table746[[#This Row],[Generation]])</f>
        <v>3.6666666666666665</v>
      </c>
      <c r="C50" cm="1">
        <f t="array" ref="C50">_xlfn.STDEV.S(_xlfn._xlws.FILTER(Table15[SkillsGen],(Table15[StartingSkills]=FALSE)*(Table15[Gen]=Table746[[#This Row],[Generation]])))</f>
        <v>1.2110601416389963</v>
      </c>
    </row>
    <row r="51" spans="1:3" x14ac:dyDescent="0.25">
      <c r="A51">
        <v>2</v>
      </c>
      <c r="B51">
        <f>AVERAGEIFS(Table15[SkillsGen],Table15[StartingSkills],FALSE,Table15[Gen],"="&amp;Table746[[#This Row],[Generation]])</f>
        <v>2.3333333333333335</v>
      </c>
      <c r="C51" cm="1">
        <f t="array" ref="C51">_xlfn.STDEV.S(_xlfn._xlws.FILTER(Table15[SkillsGen],(Table15[StartingSkills]=FALSE)*(Table15[Gen]=Table746[[#This Row],[Generation]])))</f>
        <v>0.51639777949432275</v>
      </c>
    </row>
    <row r="52" spans="1:3" x14ac:dyDescent="0.25">
      <c r="A52">
        <v>3</v>
      </c>
      <c r="B52">
        <f>AVERAGEIFS(Table15[SkillsGen],Table15[StartingSkills],FALSE,Table15[Gen],"="&amp;Table746[[#This Row],[Generation]])</f>
        <v>1.6666666666666667</v>
      </c>
      <c r="C52" cm="1">
        <f t="array" ref="C52">_xlfn.STDEV.S(_xlfn._xlws.FILTER(Table15[SkillsGen],(Table15[StartingSkills]=FALSE)*(Table15[Gen]=Table746[[#This Row],[Generation]])))</f>
        <v>1.2110601416389966</v>
      </c>
    </row>
    <row r="53" spans="1:3" x14ac:dyDescent="0.25">
      <c r="A53">
        <v>4</v>
      </c>
      <c r="B53">
        <f>AVERAGEIFS(Table15[SkillsGen],Table15[StartingSkills],FALSE,Table15[Gen],"="&amp;Table746[[#This Row],[Generation]])</f>
        <v>0.6</v>
      </c>
      <c r="C53" cm="1">
        <f t="array" ref="C53">_xlfn.STDEV.S(_xlfn._xlws.FILTER(Table15[SkillsGen],(Table15[StartingSkills]=FALSE)*(Table15[Gen]=Table746[[#This Row],[Generation]])))</f>
        <v>0.54772255750516607</v>
      </c>
    </row>
    <row r="54" spans="1:3" x14ac:dyDescent="0.25">
      <c r="A54">
        <v>5</v>
      </c>
      <c r="B54">
        <f>AVERAGEIFS(Table15[SkillsGen],Table15[StartingSkills],FALSE,Table15[Gen],"="&amp;Table746[[#This Row],[Generation]])</f>
        <v>2.5</v>
      </c>
      <c r="C54" cm="1">
        <f t="array" ref="C54">_xlfn.STDEV.S(_xlfn._xlws.FILTER(Table15[SkillsGen],(Table15[StartingSkills]=FALSE)*(Table15[Gen]=Table746[[#This Row],[Generation]])))</f>
        <v>2.0816659994661326</v>
      </c>
    </row>
    <row r="55" spans="1:3" x14ac:dyDescent="0.25">
      <c r="A55">
        <v>6</v>
      </c>
      <c r="B55">
        <f>AVERAGEIFS(Table15[SkillsGen],Table15[StartingSkills],FALSE,Table15[Gen],"="&amp;Table746[[#This Row],[Generation]])</f>
        <v>1.3333333333333333</v>
      </c>
      <c r="C55" cm="1">
        <f t="array" ref="C55">_xlfn.STDEV.S(_xlfn._xlws.FILTER(Table15[SkillsGen],(Table15[StartingSkills]=FALSE)*(Table15[Gen]=Table746[[#This Row],[Generation]])))</f>
        <v>0.57735026918962584</v>
      </c>
    </row>
    <row r="56" spans="1:3" x14ac:dyDescent="0.25">
      <c r="A56">
        <v>7</v>
      </c>
      <c r="B56">
        <f>AVERAGEIFS(Table15[SkillsGen],Table15[StartingSkills],FALSE,Table15[Gen],"="&amp;Table746[[#This Row],[Generation]])</f>
        <v>3.3333333333333335</v>
      </c>
      <c r="C56" cm="1">
        <f t="array" ref="C56">_xlfn.STDEV.S(_xlfn._xlws.FILTER(Table15[SkillsGen],(Table15[StartingSkills]=FALSE)*(Table15[Gen]=Table746[[#This Row],[Generation]])))</f>
        <v>4.0414518843273806</v>
      </c>
    </row>
    <row r="57" spans="1:3" x14ac:dyDescent="0.25">
      <c r="A57">
        <v>8</v>
      </c>
      <c r="B57">
        <f>AVERAGEIFS(Table15[SkillsGen],Table15[StartingSkills],FALSE,Table15[Gen],"="&amp;Table746[[#This Row],[Generation]])</f>
        <v>0.33333333333333331</v>
      </c>
      <c r="C57" cm="1">
        <f t="array" ref="C57">_xlfn.STDEV.S(_xlfn._xlws.FILTER(Table15[SkillsGen],(Table15[StartingSkills]=FALSE)*(Table15[Gen]=Table746[[#This Row],[Generation]])))</f>
        <v>0.57735026918962584</v>
      </c>
    </row>
    <row r="58" spans="1:3" x14ac:dyDescent="0.25">
      <c r="A58">
        <v>9</v>
      </c>
      <c r="B58">
        <f>AVERAGEIFS(Table15[SkillsGen],Table15[StartingSkills],FALSE,Table15[Gen],"="&amp;Table746[[#This Row],[Generation]])</f>
        <v>1</v>
      </c>
      <c r="C58" cm="1">
        <f t="array" ref="C58">_xlfn.STDEV.S(_xlfn._xlws.FILTER(Table15[SkillsGen],(Table15[StartingSkills]=FALSE)*(Table15[Gen]=Table746[[#This Row],[Generation]])))</f>
        <v>1</v>
      </c>
    </row>
    <row r="59" spans="1:3" x14ac:dyDescent="0.25">
      <c r="A59">
        <v>10</v>
      </c>
      <c r="B59">
        <f>AVERAGEIFS(Table15[SkillsGen],Table15[StartingSkills],FALSE,Table15[Gen],"="&amp;Table746[[#This Row],[Generation]])</f>
        <v>1</v>
      </c>
      <c r="C59" cm="1">
        <f t="array" ref="C59">_xlfn.STDEV.S(_xlfn._xlws.FILTER(Table15[SkillsGen],(Table15[StartingSkills]=FALSE)*(Table15[Gen]=Table746[[#This Row],[Generation]])))</f>
        <v>0</v>
      </c>
    </row>
    <row r="60" spans="1:3" x14ac:dyDescent="0.25">
      <c r="A60">
        <v>11</v>
      </c>
      <c r="B60">
        <f>AVERAGEIFS(Table15[SkillsGen],Table15[StartingSkills],FALSE,Table15[Gen],"="&amp;Table746[[#This Row],[Generation]])</f>
        <v>0</v>
      </c>
      <c r="C60" cm="1">
        <f t="array" ref="C60">_xlfn.STDEV.S(_xlfn._xlws.FILTER(Table15[SkillsGen],(Table15[StartingSkills]=FALSE)*(Table15[Gen]=Table746[[#This Row],[Generation]])))</f>
        <v>0</v>
      </c>
    </row>
    <row r="61" spans="1:3" x14ac:dyDescent="0.25">
      <c r="A61">
        <v>12</v>
      </c>
      <c r="B61">
        <f>AVERAGEIFS(Table15[SkillsGen],Table15[StartingSkills],FALSE,Table15[Gen],"="&amp;Table746[[#This Row],[Generation]])</f>
        <v>0</v>
      </c>
      <c r="C61" cm="1">
        <f t="array" ref="C61">_xlfn.STDEV.S(_xlfn._xlws.FILTER(Table15[SkillsGen],(Table15[StartingSkills]=FALSE)*(Table15[Gen]=Table746[[#This Row],[Generation]])))</f>
        <v>0</v>
      </c>
    </row>
    <row r="62" spans="1:3" x14ac:dyDescent="0.25">
      <c r="A62">
        <v>13</v>
      </c>
      <c r="B62">
        <f>AVERAGEIFS(Table15[SkillsGen],Table15[StartingSkills],FALSE,Table15[Gen],"="&amp;Table746[[#This Row],[Generation]])</f>
        <v>0</v>
      </c>
      <c r="C62" cm="1">
        <f t="array" ref="C62">_xlfn.STDEV.S(_xlfn._xlws.FILTER(Table15[SkillsGen],(Table15[StartingSkills]=FALSE)*(Table15[Gen]=Table746[[#This Row],[Generation]])))</f>
        <v>0</v>
      </c>
    </row>
    <row r="63" spans="1:3" x14ac:dyDescent="0.25">
      <c r="A63">
        <v>14</v>
      </c>
      <c r="B63">
        <f>AVERAGEIFS(Table15[SkillsGen],Table15[StartingSkills],FALSE,Table15[Gen],"="&amp;Table746[[#This Row],[Generation]])</f>
        <v>0.5</v>
      </c>
      <c r="C63" cm="1">
        <f t="array" ref="C63">_xlfn.STDEV.S(_xlfn._xlws.FILTER(Table15[SkillsGen],(Table15[StartingSkills]=FALSE)*(Table15[Gen]=Table746[[#This Row],[Generation]])))</f>
        <v>0.70710678118654757</v>
      </c>
    </row>
    <row r="64" spans="1:3" x14ac:dyDescent="0.25">
      <c r="A64">
        <v>15</v>
      </c>
      <c r="B64">
        <f>AVERAGEIFS(Table15[SkillsGen],Table15[StartingSkills],FALSE,Table15[Gen],"="&amp;Table746[[#This Row],[Generation]])</f>
        <v>0</v>
      </c>
      <c r="C64" cm="1">
        <f t="array" ref="C64">_xlfn.STDEV.S(_xlfn._xlws.FILTER(Table15[SkillsGen],(Table15[StartingSkills]=FALSE)*(Table15[Gen]=Table746[[#This Row],[Generation]])))</f>
        <v>0</v>
      </c>
    </row>
    <row r="65" spans="1:3" x14ac:dyDescent="0.25">
      <c r="A65">
        <v>16</v>
      </c>
      <c r="B65">
        <f>AVERAGEIFS(Table15[SkillsGen],Table15[StartingSkills],FALSE,Table15[Gen],"="&amp;Table746[[#This Row],[Generation]])</f>
        <v>1.5</v>
      </c>
      <c r="C65" cm="1">
        <f t="array" ref="C65">_xlfn.STDEV.S(_xlfn._xlws.FILTER(Table15[SkillsGen],(Table15[StartingSkills]=FALSE)*(Table15[Gen]=Table746[[#This Row],[Generation]])))</f>
        <v>0.70710678118654757</v>
      </c>
    </row>
    <row r="66" spans="1:3" x14ac:dyDescent="0.25">
      <c r="A66">
        <v>17</v>
      </c>
      <c r="B66">
        <f>AVERAGEIFS(Table15[SkillsGen],Table15[StartingSkills],FALSE,Table15[Gen],"="&amp;Table746[[#This Row],[Generation]])</f>
        <v>1</v>
      </c>
      <c r="C66" cm="1">
        <f t="array" ref="C66">_xlfn.STDEV.S(_xlfn._xlws.FILTER(Table15[SkillsGen],(Table15[StartingSkills]=FALSE)*(Table15[Gen]=Table746[[#This Row],[Generation]])))</f>
        <v>1.4142135623730951</v>
      </c>
    </row>
    <row r="67" spans="1:3" x14ac:dyDescent="0.25">
      <c r="A67">
        <v>18</v>
      </c>
      <c r="B67">
        <f>AVERAGEIFS(Table15[SkillsGen],Table15[StartingSkills],FALSE,Table15[Gen],"="&amp;Table746[[#This Row],[Generation]])</f>
        <v>0</v>
      </c>
      <c r="C67" cm="1">
        <f t="array" ref="C67">_xlfn.STDEV.S(_xlfn._xlws.FILTER(Table15[SkillsGen],(Table15[StartingSkills]=FALSE)*(Table15[Gen]=Table746[[#This Row],[Generation]])))</f>
        <v>0</v>
      </c>
    </row>
    <row r="68" spans="1:3" x14ac:dyDescent="0.25">
      <c r="A68">
        <v>19</v>
      </c>
      <c r="B68">
        <f>AVERAGEIFS(Table15[SkillsGen],Table15[StartingSkills],FALSE,Table15[Gen],"="&amp;Table746[[#This Row],[Generation]])</f>
        <v>0.5</v>
      </c>
      <c r="C68" cm="1">
        <f t="array" ref="C68">_xlfn.STDEV.S(_xlfn._xlws.FILTER(Table15[SkillsGen],(Table15[StartingSkills]=FALSE)*(Table15[Gen]=Table746[[#This Row],[Generation]])))</f>
        <v>0.70710678118654757</v>
      </c>
    </row>
    <row r="69" spans="1:3" x14ac:dyDescent="0.25">
      <c r="A69">
        <v>20</v>
      </c>
      <c r="B69">
        <f>AVERAGEIFS(Table15[SkillsGen],Table15[StartingSkills],FALSE,Table15[Gen],"="&amp;Table746[[#This Row],[Generation]])</f>
        <v>1</v>
      </c>
      <c r="C69" cm="1">
        <f t="array" ref="C69">_xlfn.STDEV.S(_xlfn._xlws.FILTER(Table15[SkillsGen],(Table15[StartingSkills]=FALSE)*(Table15[Gen]=Table746[[#This Row],[Generation]])))</f>
        <v>0</v>
      </c>
    </row>
  </sheetData>
  <pageMargins left="0.7" right="0.7" top="0.75" bottom="0.75" header="0.3" footer="0.3"/>
  <drawing r:id="rId1"/>
  <tableParts count="3">
    <tablePart r:id="rId2"/>
    <tablePart r:id="rId3"/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A2550-98B7-4CF2-B530-63625270A163}">
  <dimension ref="A1:J81"/>
  <sheetViews>
    <sheetView workbookViewId="0">
      <selection activeCell="H2" sqref="H2:H21"/>
    </sheetView>
  </sheetViews>
  <sheetFormatPr defaultRowHeight="15" x14ac:dyDescent="0.25"/>
  <cols>
    <col min="1" max="1" width="27.85546875" bestFit="1" customWidth="1"/>
    <col min="2" max="2" width="28.85546875" bestFit="1" customWidth="1"/>
    <col min="3" max="3" width="11.7109375" bestFit="1" customWidth="1"/>
    <col min="4" max="4" width="15" bestFit="1" customWidth="1"/>
    <col min="8" max="8" width="23" bestFit="1" customWidth="1"/>
    <col min="9" max="9" width="16.7109375" bestFit="1" customWidth="1"/>
    <col min="10" max="10" width="20" bestFit="1" customWidth="1"/>
    <col min="11" max="11" width="32.5703125" bestFit="1" customWidth="1"/>
  </cols>
  <sheetData>
    <row r="1" spans="1:10" x14ac:dyDescent="0.25">
      <c r="A1" t="s">
        <v>71</v>
      </c>
      <c r="B1" t="s">
        <v>72</v>
      </c>
      <c r="C1" t="s">
        <v>159</v>
      </c>
      <c r="D1" t="s">
        <v>160</v>
      </c>
      <c r="H1" t="s">
        <v>172</v>
      </c>
      <c r="I1" t="s">
        <v>161</v>
      </c>
      <c r="J1" t="s">
        <v>162</v>
      </c>
    </row>
    <row r="2" spans="1:10" x14ac:dyDescent="0.25">
      <c r="A2" t="s">
        <v>73</v>
      </c>
      <c r="B2" t="s">
        <v>74</v>
      </c>
      <c r="C2">
        <v>3</v>
      </c>
      <c r="D2">
        <v>44</v>
      </c>
      <c r="H2" s="1" t="s">
        <v>163</v>
      </c>
      <c r="I2">
        <v>11</v>
      </c>
      <c r="J2">
        <v>1379</v>
      </c>
    </row>
    <row r="3" spans="1:10" x14ac:dyDescent="0.25">
      <c r="B3" t="s">
        <v>75</v>
      </c>
      <c r="C3">
        <v>1</v>
      </c>
      <c r="D3">
        <v>0</v>
      </c>
      <c r="H3" t="s">
        <v>173</v>
      </c>
    </row>
    <row r="4" spans="1:10" x14ac:dyDescent="0.25">
      <c r="B4" t="s">
        <v>76</v>
      </c>
      <c r="C4">
        <v>3</v>
      </c>
      <c r="D4">
        <v>175</v>
      </c>
      <c r="H4" s="1" t="s">
        <v>164</v>
      </c>
      <c r="I4">
        <v>5</v>
      </c>
      <c r="J4">
        <v>529</v>
      </c>
    </row>
    <row r="5" spans="1:10" x14ac:dyDescent="0.25">
      <c r="B5" t="s">
        <v>77</v>
      </c>
      <c r="C5">
        <v>1</v>
      </c>
      <c r="D5">
        <v>0</v>
      </c>
      <c r="H5" t="s">
        <v>174</v>
      </c>
    </row>
    <row r="6" spans="1:10" x14ac:dyDescent="0.25">
      <c r="B6" t="s">
        <v>78</v>
      </c>
      <c r="C6">
        <v>0</v>
      </c>
      <c r="D6">
        <v>521</v>
      </c>
      <c r="H6" s="1" t="s">
        <v>165</v>
      </c>
      <c r="I6">
        <v>16</v>
      </c>
      <c r="J6">
        <v>324</v>
      </c>
    </row>
    <row r="7" spans="1:10" x14ac:dyDescent="0.25">
      <c r="B7" t="s">
        <v>79</v>
      </c>
      <c r="C7">
        <v>1</v>
      </c>
      <c r="D7">
        <v>1</v>
      </c>
      <c r="H7" t="s">
        <v>175</v>
      </c>
    </row>
    <row r="8" spans="1:10" x14ac:dyDescent="0.25">
      <c r="B8" t="s">
        <v>80</v>
      </c>
      <c r="C8">
        <v>1</v>
      </c>
      <c r="D8">
        <v>1145</v>
      </c>
      <c r="H8" s="1" t="s">
        <v>166</v>
      </c>
      <c r="I8">
        <v>10</v>
      </c>
      <c r="J8">
        <v>73</v>
      </c>
    </row>
    <row r="9" spans="1:10" x14ac:dyDescent="0.25">
      <c r="B9" t="s">
        <v>81</v>
      </c>
      <c r="C9">
        <v>1</v>
      </c>
      <c r="D9">
        <v>0</v>
      </c>
      <c r="H9" t="s">
        <v>176</v>
      </c>
    </row>
    <row r="10" spans="1:10" x14ac:dyDescent="0.25">
      <c r="B10" t="s">
        <v>82</v>
      </c>
      <c r="C10">
        <v>1</v>
      </c>
      <c r="D10">
        <v>14</v>
      </c>
      <c r="H10" s="1" t="s">
        <v>167</v>
      </c>
      <c r="I10">
        <v>20</v>
      </c>
      <c r="J10">
        <v>42</v>
      </c>
    </row>
    <row r="11" spans="1:10" x14ac:dyDescent="0.25">
      <c r="B11" t="s">
        <v>83</v>
      </c>
      <c r="C11">
        <v>1</v>
      </c>
      <c r="D11">
        <v>0</v>
      </c>
      <c r="H11" t="s">
        <v>177</v>
      </c>
    </row>
    <row r="12" spans="1:10" x14ac:dyDescent="0.25">
      <c r="B12" t="s">
        <v>84</v>
      </c>
      <c r="C12">
        <v>1</v>
      </c>
      <c r="D12">
        <v>5</v>
      </c>
      <c r="H12" s="1" t="s">
        <v>179</v>
      </c>
      <c r="I12">
        <v>17</v>
      </c>
      <c r="J12">
        <v>408</v>
      </c>
    </row>
    <row r="13" spans="1:10" x14ac:dyDescent="0.25">
      <c r="B13" t="s">
        <v>85</v>
      </c>
      <c r="C13">
        <v>1</v>
      </c>
      <c r="D13">
        <v>0</v>
      </c>
      <c r="H13" t="s">
        <v>178</v>
      </c>
    </row>
    <row r="14" spans="1:10" x14ac:dyDescent="0.25">
      <c r="B14" t="s">
        <v>86</v>
      </c>
      <c r="C14">
        <v>1</v>
      </c>
      <c r="D14">
        <v>3</v>
      </c>
      <c r="H14" s="1" t="s">
        <v>168</v>
      </c>
      <c r="I14">
        <v>6</v>
      </c>
      <c r="J14">
        <v>790</v>
      </c>
    </row>
    <row r="15" spans="1:10" x14ac:dyDescent="0.25">
      <c r="A15" t="s">
        <v>87</v>
      </c>
      <c r="B15" t="s">
        <v>88</v>
      </c>
      <c r="C15">
        <v>1</v>
      </c>
      <c r="D15">
        <v>47</v>
      </c>
      <c r="H15" t="s">
        <v>180</v>
      </c>
    </row>
    <row r="16" spans="1:10" x14ac:dyDescent="0.25">
      <c r="B16" t="s">
        <v>89</v>
      </c>
      <c r="C16">
        <v>1</v>
      </c>
      <c r="D16">
        <v>0</v>
      </c>
      <c r="H16" s="1" t="s">
        <v>169</v>
      </c>
      <c r="I16">
        <v>8</v>
      </c>
      <c r="J16">
        <v>707</v>
      </c>
    </row>
    <row r="17" spans="1:10" x14ac:dyDescent="0.25">
      <c r="B17" t="s">
        <v>90</v>
      </c>
      <c r="C17">
        <v>2</v>
      </c>
      <c r="D17">
        <v>24</v>
      </c>
      <c r="H17" t="s">
        <v>181</v>
      </c>
    </row>
    <row r="18" spans="1:10" x14ac:dyDescent="0.25">
      <c r="B18" t="s">
        <v>91</v>
      </c>
      <c r="C18">
        <v>1</v>
      </c>
      <c r="D18">
        <v>2</v>
      </c>
      <c r="H18" s="1" t="s">
        <v>170</v>
      </c>
      <c r="I18">
        <v>6</v>
      </c>
      <c r="J18">
        <v>21</v>
      </c>
    </row>
    <row r="19" spans="1:10" x14ac:dyDescent="0.25">
      <c r="B19" t="s">
        <v>92</v>
      </c>
      <c r="C19">
        <v>1</v>
      </c>
      <c r="D19">
        <v>0</v>
      </c>
      <c r="H19" t="s">
        <v>182</v>
      </c>
    </row>
    <row r="20" spans="1:10" x14ac:dyDescent="0.25">
      <c r="B20" t="s">
        <v>93</v>
      </c>
      <c r="C20">
        <v>1</v>
      </c>
      <c r="D20">
        <v>30</v>
      </c>
      <c r="H20" s="1" t="s">
        <v>171</v>
      </c>
      <c r="I20">
        <v>2</v>
      </c>
      <c r="J20">
        <v>1548</v>
      </c>
    </row>
    <row r="21" spans="1:10" x14ac:dyDescent="0.25">
      <c r="B21" t="s">
        <v>94</v>
      </c>
      <c r="C21">
        <v>6</v>
      </c>
      <c r="D21">
        <v>159</v>
      </c>
      <c r="H21" t="s">
        <v>183</v>
      </c>
    </row>
    <row r="22" spans="1:10" x14ac:dyDescent="0.25">
      <c r="B22" t="s">
        <v>95</v>
      </c>
      <c r="C22">
        <v>1</v>
      </c>
      <c r="D22">
        <v>0</v>
      </c>
    </row>
    <row r="23" spans="1:10" x14ac:dyDescent="0.25">
      <c r="B23" t="s">
        <v>96</v>
      </c>
      <c r="C23">
        <v>1</v>
      </c>
      <c r="D23">
        <v>5</v>
      </c>
    </row>
    <row r="24" spans="1:10" x14ac:dyDescent="0.25">
      <c r="B24" t="s">
        <v>97</v>
      </c>
      <c r="C24">
        <v>1</v>
      </c>
      <c r="D24">
        <v>57</v>
      </c>
    </row>
    <row r="25" spans="1:10" x14ac:dyDescent="0.25">
      <c r="B25" t="s">
        <v>98</v>
      </c>
      <c r="C25">
        <v>3</v>
      </c>
      <c r="D25">
        <v>9</v>
      </c>
    </row>
    <row r="26" spans="1:10" x14ac:dyDescent="0.25">
      <c r="B26" t="s">
        <v>99</v>
      </c>
      <c r="C26">
        <v>1</v>
      </c>
      <c r="D26">
        <v>0</v>
      </c>
    </row>
    <row r="27" spans="1:10" x14ac:dyDescent="0.25">
      <c r="B27" t="s">
        <v>100</v>
      </c>
      <c r="C27">
        <v>1</v>
      </c>
      <c r="D27">
        <v>0</v>
      </c>
    </row>
    <row r="28" spans="1:10" x14ac:dyDescent="0.25">
      <c r="B28" t="s">
        <v>101</v>
      </c>
      <c r="C28">
        <v>1</v>
      </c>
      <c r="D28">
        <v>35</v>
      </c>
    </row>
    <row r="29" spans="1:10" x14ac:dyDescent="0.25">
      <c r="B29" t="s">
        <v>102</v>
      </c>
      <c r="C29">
        <v>1</v>
      </c>
      <c r="D29">
        <v>14</v>
      </c>
    </row>
    <row r="30" spans="1:10" x14ac:dyDescent="0.25">
      <c r="B30" t="s">
        <v>103</v>
      </c>
      <c r="C30">
        <v>3</v>
      </c>
      <c r="D30">
        <v>15</v>
      </c>
    </row>
    <row r="31" spans="1:10" x14ac:dyDescent="0.25">
      <c r="A31" t="s">
        <v>104</v>
      </c>
      <c r="B31" t="s">
        <v>105</v>
      </c>
      <c r="C31">
        <v>1</v>
      </c>
      <c r="D31">
        <v>12</v>
      </c>
    </row>
    <row r="32" spans="1:10" x14ac:dyDescent="0.25">
      <c r="B32" t="s">
        <v>106</v>
      </c>
      <c r="C32">
        <v>1</v>
      </c>
      <c r="D32">
        <v>0</v>
      </c>
    </row>
    <row r="33" spans="1:4" x14ac:dyDescent="0.25">
      <c r="B33" t="s">
        <v>107</v>
      </c>
      <c r="C33">
        <v>1</v>
      </c>
      <c r="D33">
        <v>4</v>
      </c>
    </row>
    <row r="34" spans="1:4" x14ac:dyDescent="0.25">
      <c r="B34" t="s">
        <v>108</v>
      </c>
      <c r="C34">
        <v>1</v>
      </c>
      <c r="D34">
        <v>11</v>
      </c>
    </row>
    <row r="35" spans="1:4" x14ac:dyDescent="0.25">
      <c r="B35" t="s">
        <v>109</v>
      </c>
      <c r="C35">
        <v>2</v>
      </c>
      <c r="D35">
        <v>10</v>
      </c>
    </row>
    <row r="36" spans="1:4" x14ac:dyDescent="0.25">
      <c r="B36" t="s">
        <v>110</v>
      </c>
      <c r="C36">
        <v>1</v>
      </c>
      <c r="D36">
        <v>2</v>
      </c>
    </row>
    <row r="37" spans="1:4" x14ac:dyDescent="0.25">
      <c r="B37" t="s">
        <v>111</v>
      </c>
      <c r="C37">
        <v>3</v>
      </c>
      <c r="D37">
        <v>2</v>
      </c>
    </row>
    <row r="38" spans="1:4" x14ac:dyDescent="0.25">
      <c r="B38" t="s">
        <v>112</v>
      </c>
      <c r="C38">
        <v>1</v>
      </c>
      <c r="D38">
        <v>0</v>
      </c>
    </row>
    <row r="39" spans="1:4" x14ac:dyDescent="0.25">
      <c r="B39" t="s">
        <v>113</v>
      </c>
      <c r="C39">
        <v>1</v>
      </c>
      <c r="D39">
        <v>0</v>
      </c>
    </row>
    <row r="40" spans="1:4" x14ac:dyDescent="0.25">
      <c r="B40" t="s">
        <v>114</v>
      </c>
      <c r="C40">
        <v>1</v>
      </c>
      <c r="D40">
        <v>1</v>
      </c>
    </row>
    <row r="41" spans="1:4" x14ac:dyDescent="0.25">
      <c r="B41" t="s">
        <v>115</v>
      </c>
      <c r="C41">
        <v>1</v>
      </c>
      <c r="D41">
        <v>0</v>
      </c>
    </row>
    <row r="42" spans="1:4" x14ac:dyDescent="0.25">
      <c r="B42" t="s">
        <v>116</v>
      </c>
      <c r="C42">
        <v>1</v>
      </c>
      <c r="D42">
        <v>0</v>
      </c>
    </row>
    <row r="43" spans="1:4" x14ac:dyDescent="0.25">
      <c r="B43" t="s">
        <v>117</v>
      </c>
      <c r="C43">
        <v>1</v>
      </c>
      <c r="D43">
        <v>0</v>
      </c>
    </row>
    <row r="44" spans="1:4" x14ac:dyDescent="0.25">
      <c r="B44" t="s">
        <v>118</v>
      </c>
      <c r="C44">
        <v>1</v>
      </c>
      <c r="D44">
        <v>0</v>
      </c>
    </row>
    <row r="45" spans="1:4" x14ac:dyDescent="0.25">
      <c r="B45" t="s">
        <v>119</v>
      </c>
      <c r="C45">
        <v>1</v>
      </c>
      <c r="D45">
        <v>0</v>
      </c>
    </row>
    <row r="46" spans="1:4" x14ac:dyDescent="0.25">
      <c r="B46" t="s">
        <v>120</v>
      </c>
      <c r="C46">
        <v>1</v>
      </c>
      <c r="D46">
        <v>0</v>
      </c>
    </row>
    <row r="47" spans="1:4" x14ac:dyDescent="0.25">
      <c r="B47" t="s">
        <v>121</v>
      </c>
      <c r="C47">
        <v>1</v>
      </c>
      <c r="D47">
        <v>0</v>
      </c>
    </row>
    <row r="48" spans="1:4" x14ac:dyDescent="0.25">
      <c r="A48" t="s">
        <v>122</v>
      </c>
      <c r="B48" t="s">
        <v>123</v>
      </c>
      <c r="C48">
        <v>1</v>
      </c>
      <c r="D48">
        <v>0</v>
      </c>
    </row>
    <row r="49" spans="1:4" x14ac:dyDescent="0.25">
      <c r="B49" t="s">
        <v>124</v>
      </c>
      <c r="C49">
        <v>1</v>
      </c>
      <c r="D49">
        <v>0</v>
      </c>
    </row>
    <row r="50" spans="1:4" x14ac:dyDescent="0.25">
      <c r="B50" t="s">
        <v>125</v>
      </c>
      <c r="C50">
        <v>4</v>
      </c>
      <c r="D50">
        <v>273</v>
      </c>
    </row>
    <row r="51" spans="1:4" x14ac:dyDescent="0.25">
      <c r="B51" t="s">
        <v>126</v>
      </c>
      <c r="C51">
        <v>1</v>
      </c>
      <c r="D51">
        <v>0</v>
      </c>
    </row>
    <row r="52" spans="1:4" x14ac:dyDescent="0.25">
      <c r="B52" t="s">
        <v>127</v>
      </c>
      <c r="C52">
        <v>3</v>
      </c>
      <c r="D52">
        <v>11</v>
      </c>
    </row>
    <row r="53" spans="1:4" x14ac:dyDescent="0.25">
      <c r="B53" t="s">
        <v>128</v>
      </c>
      <c r="C53">
        <v>1</v>
      </c>
      <c r="D53">
        <v>0</v>
      </c>
    </row>
    <row r="54" spans="1:4" x14ac:dyDescent="0.25">
      <c r="B54" t="s">
        <v>129</v>
      </c>
      <c r="C54">
        <v>2</v>
      </c>
      <c r="D54">
        <v>118</v>
      </c>
    </row>
    <row r="55" spans="1:4" x14ac:dyDescent="0.25">
      <c r="B55" t="s">
        <v>130</v>
      </c>
      <c r="C55">
        <v>1</v>
      </c>
      <c r="D55">
        <v>1</v>
      </c>
    </row>
    <row r="56" spans="1:4" x14ac:dyDescent="0.25">
      <c r="B56" t="s">
        <v>131</v>
      </c>
      <c r="C56">
        <v>1</v>
      </c>
      <c r="D56">
        <v>4</v>
      </c>
    </row>
    <row r="57" spans="1:4" x14ac:dyDescent="0.25">
      <c r="B57" t="s">
        <v>132</v>
      </c>
      <c r="C57">
        <v>1</v>
      </c>
      <c r="D57">
        <v>0</v>
      </c>
    </row>
    <row r="58" spans="1:4" x14ac:dyDescent="0.25">
      <c r="B58" t="s">
        <v>133</v>
      </c>
      <c r="C58">
        <v>1</v>
      </c>
      <c r="D58">
        <v>1</v>
      </c>
    </row>
    <row r="59" spans="1:4" x14ac:dyDescent="0.25">
      <c r="A59" t="s">
        <v>134</v>
      </c>
      <c r="B59" t="s">
        <v>135</v>
      </c>
      <c r="C59">
        <v>2</v>
      </c>
      <c r="D59">
        <v>14</v>
      </c>
    </row>
    <row r="60" spans="1:4" x14ac:dyDescent="0.25">
      <c r="B60" t="s">
        <v>136</v>
      </c>
      <c r="C60">
        <v>1</v>
      </c>
      <c r="D60">
        <v>0</v>
      </c>
    </row>
    <row r="61" spans="1:4" x14ac:dyDescent="0.25">
      <c r="B61" t="s">
        <v>137</v>
      </c>
      <c r="C61">
        <v>1</v>
      </c>
      <c r="D61">
        <v>0</v>
      </c>
    </row>
    <row r="62" spans="1:4" x14ac:dyDescent="0.25">
      <c r="B62" t="s">
        <v>138</v>
      </c>
      <c r="C62">
        <v>3</v>
      </c>
      <c r="D62">
        <v>128</v>
      </c>
    </row>
    <row r="63" spans="1:4" x14ac:dyDescent="0.25">
      <c r="B63" t="s">
        <v>139</v>
      </c>
      <c r="C63">
        <v>1</v>
      </c>
      <c r="D63">
        <v>0</v>
      </c>
    </row>
    <row r="64" spans="1:4" x14ac:dyDescent="0.25">
      <c r="B64" t="s">
        <v>140</v>
      </c>
      <c r="C64">
        <v>0</v>
      </c>
      <c r="D64">
        <v>587</v>
      </c>
    </row>
    <row r="65" spans="1:4" x14ac:dyDescent="0.25">
      <c r="B65" t="s">
        <v>141</v>
      </c>
      <c r="C65">
        <v>1</v>
      </c>
      <c r="D65">
        <v>72</v>
      </c>
    </row>
    <row r="66" spans="1:4" x14ac:dyDescent="0.25">
      <c r="B66" t="s">
        <v>142</v>
      </c>
      <c r="C66">
        <v>1</v>
      </c>
      <c r="D66">
        <v>3</v>
      </c>
    </row>
    <row r="67" spans="1:4" x14ac:dyDescent="0.25">
      <c r="B67" t="s">
        <v>143</v>
      </c>
      <c r="C67">
        <v>1</v>
      </c>
      <c r="D67">
        <v>1</v>
      </c>
    </row>
    <row r="68" spans="1:4" x14ac:dyDescent="0.25">
      <c r="B68" t="s">
        <v>144</v>
      </c>
      <c r="C68">
        <v>1</v>
      </c>
      <c r="D68">
        <v>7</v>
      </c>
    </row>
    <row r="69" spans="1:4" x14ac:dyDescent="0.25">
      <c r="B69" t="s">
        <v>145</v>
      </c>
      <c r="C69">
        <v>1</v>
      </c>
      <c r="D69">
        <v>0</v>
      </c>
    </row>
    <row r="70" spans="1:4" x14ac:dyDescent="0.25">
      <c r="B70" t="s">
        <v>146</v>
      </c>
      <c r="C70">
        <v>0</v>
      </c>
      <c r="D70">
        <v>281</v>
      </c>
    </row>
    <row r="71" spans="1:4" x14ac:dyDescent="0.25">
      <c r="B71" t="s">
        <v>147</v>
      </c>
      <c r="C71">
        <v>0</v>
      </c>
      <c r="D71">
        <v>347</v>
      </c>
    </row>
    <row r="72" spans="1:4" x14ac:dyDescent="0.25">
      <c r="B72" t="s">
        <v>148</v>
      </c>
      <c r="C72">
        <v>1</v>
      </c>
      <c r="D72">
        <v>0</v>
      </c>
    </row>
    <row r="73" spans="1:4" x14ac:dyDescent="0.25">
      <c r="B73" t="s">
        <v>149</v>
      </c>
      <c r="C73">
        <v>3</v>
      </c>
      <c r="D73">
        <v>55</v>
      </c>
    </row>
    <row r="74" spans="1:4" x14ac:dyDescent="0.25">
      <c r="B74" t="s">
        <v>150</v>
      </c>
      <c r="C74">
        <v>1</v>
      </c>
      <c r="D74">
        <v>0</v>
      </c>
    </row>
    <row r="75" spans="1:4" x14ac:dyDescent="0.25">
      <c r="B75" t="s">
        <v>151</v>
      </c>
      <c r="C75">
        <v>1</v>
      </c>
      <c r="D75">
        <v>16</v>
      </c>
    </row>
    <row r="76" spans="1:4" x14ac:dyDescent="0.25">
      <c r="A76" t="s">
        <v>152</v>
      </c>
      <c r="B76" t="s">
        <v>153</v>
      </c>
      <c r="C76">
        <v>0</v>
      </c>
      <c r="D76">
        <v>286</v>
      </c>
    </row>
    <row r="77" spans="1:4" x14ac:dyDescent="0.25">
      <c r="B77" t="s">
        <v>154</v>
      </c>
      <c r="C77">
        <v>1</v>
      </c>
      <c r="D77">
        <v>0</v>
      </c>
    </row>
    <row r="78" spans="1:4" x14ac:dyDescent="0.25">
      <c r="B78" t="s">
        <v>155</v>
      </c>
      <c r="C78">
        <v>0</v>
      </c>
      <c r="D78">
        <v>130</v>
      </c>
    </row>
    <row r="79" spans="1:4" x14ac:dyDescent="0.25">
      <c r="B79" t="s">
        <v>156</v>
      </c>
      <c r="C79">
        <v>1</v>
      </c>
      <c r="D79">
        <v>0</v>
      </c>
    </row>
    <row r="80" spans="1:4" x14ac:dyDescent="0.25">
      <c r="B80" t="s">
        <v>157</v>
      </c>
      <c r="C80">
        <v>1</v>
      </c>
      <c r="D80">
        <v>7</v>
      </c>
    </row>
    <row r="81" spans="2:4" x14ac:dyDescent="0.25">
      <c r="B81" t="s">
        <v>158</v>
      </c>
      <c r="C81">
        <v>0</v>
      </c>
      <c r="D81">
        <v>1132</v>
      </c>
    </row>
  </sheetData>
  <autoFilter ref="A1:D82" xr:uid="{454A2550-98B7-4CF2-B530-63625270A163}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A4C3C-D8AA-4A59-93D9-485C3F4424C8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46B4C-F6D3-495E-9A24-223B7B0124B9}">
  <dimension ref="A1:E55"/>
  <sheetViews>
    <sheetView workbookViewId="0">
      <selection activeCell="J36" sqref="J36"/>
    </sheetView>
  </sheetViews>
  <sheetFormatPr defaultRowHeight="15" x14ac:dyDescent="0.25"/>
  <cols>
    <col min="1" max="1" width="18.140625" bestFit="1" customWidth="1"/>
    <col min="2" max="2" width="18.140625" customWidth="1"/>
    <col min="3" max="3" width="20.140625" customWidth="1"/>
  </cols>
  <sheetData>
    <row r="1" spans="1:5" x14ac:dyDescent="0.25">
      <c r="A1" t="s">
        <v>63</v>
      </c>
      <c r="B1" t="s">
        <v>3</v>
      </c>
      <c r="C1" t="s">
        <v>7</v>
      </c>
      <c r="D1" t="s">
        <v>62</v>
      </c>
      <c r="E1" t="s">
        <v>14</v>
      </c>
    </row>
    <row r="2" spans="1:5" x14ac:dyDescent="0.25">
      <c r="A2" t="str">
        <f>Table2[[#This Row],[Lineage]]&amp;"-"&amp;Table2[[#This Row],[Gen]]</f>
        <v>3-3</v>
      </c>
      <c r="B2">
        <v>3</v>
      </c>
      <c r="C2">
        <v>3</v>
      </c>
      <c r="D2">
        <v>1</v>
      </c>
      <c r="E2" t="s">
        <v>46</v>
      </c>
    </row>
    <row r="3" spans="1:5" x14ac:dyDescent="0.25">
      <c r="A3" t="str">
        <f>Table2[[#This Row],[Lineage]]&amp;"-"&amp;Table2[[#This Row],[Gen]]</f>
        <v>4-2</v>
      </c>
      <c r="B3">
        <v>4</v>
      </c>
      <c r="C3">
        <v>2</v>
      </c>
      <c r="D3">
        <v>1</v>
      </c>
      <c r="E3" t="s">
        <v>47</v>
      </c>
    </row>
    <row r="4" spans="1:5" x14ac:dyDescent="0.25">
      <c r="A4" t="str">
        <f>Table2[[#This Row],[Lineage]]&amp;"-"&amp;Table2[[#This Row],[Gen]]</f>
        <v>5-6</v>
      </c>
      <c r="B4">
        <v>5</v>
      </c>
      <c r="C4">
        <v>6</v>
      </c>
      <c r="D4">
        <v>2</v>
      </c>
      <c r="E4" t="s">
        <v>48</v>
      </c>
    </row>
    <row r="5" spans="1:5" x14ac:dyDescent="0.25">
      <c r="A5" t="str">
        <f>Table2[[#This Row],[Lineage]]&amp;"-"&amp;Table2[[#This Row],[Gen]]</f>
        <v>6-4</v>
      </c>
      <c r="B5">
        <v>6</v>
      </c>
      <c r="C5">
        <v>4</v>
      </c>
      <c r="D5">
        <v>1</v>
      </c>
      <c r="E5" t="s">
        <v>49</v>
      </c>
    </row>
    <row r="6" spans="1:5" x14ac:dyDescent="0.25">
      <c r="A6" t="str">
        <f>Table2[[#This Row],[Lineage]]&amp;"-"&amp;Table2[[#This Row],[Gen]]</f>
        <v>7-1</v>
      </c>
      <c r="B6">
        <v>7</v>
      </c>
      <c r="C6">
        <v>1</v>
      </c>
      <c r="D6">
        <v>1</v>
      </c>
      <c r="E6" t="s">
        <v>50</v>
      </c>
    </row>
    <row r="7" spans="1:5" x14ac:dyDescent="0.25">
      <c r="A7" t="str">
        <f>Table2[[#This Row],[Lineage]]&amp;"-"&amp;Table2[[#This Row],[Gen]]</f>
        <v>8-3</v>
      </c>
      <c r="B7">
        <v>8</v>
      </c>
      <c r="C7">
        <v>3</v>
      </c>
      <c r="D7">
        <v>1</v>
      </c>
      <c r="E7" t="s">
        <v>51</v>
      </c>
    </row>
    <row r="8" spans="1:5" x14ac:dyDescent="0.25">
      <c r="A8" t="str">
        <f>Table2[[#This Row],[Lineage]]&amp;"-"&amp;Table2[[#This Row],[Gen]]</f>
        <v>9-1</v>
      </c>
      <c r="B8">
        <v>9</v>
      </c>
      <c r="C8">
        <v>1</v>
      </c>
      <c r="D8">
        <v>3</v>
      </c>
      <c r="E8" t="s">
        <v>52</v>
      </c>
    </row>
    <row r="9" spans="1:5" x14ac:dyDescent="0.25">
      <c r="A9" t="str">
        <f>Table2[[#This Row],[Lineage]]&amp;"-"&amp;Table2[[#This Row],[Gen]]</f>
        <v>9-2</v>
      </c>
      <c r="B9">
        <v>9</v>
      </c>
      <c r="C9">
        <v>2</v>
      </c>
      <c r="D9">
        <v>2</v>
      </c>
      <c r="E9" t="s">
        <v>52</v>
      </c>
    </row>
    <row r="10" spans="1:5" x14ac:dyDescent="0.25">
      <c r="A10" t="str">
        <f>Table2[[#This Row],[Lineage]]&amp;"-"&amp;Table2[[#This Row],[Gen]]</f>
        <v>9-3</v>
      </c>
      <c r="B10">
        <v>9</v>
      </c>
      <c r="C10">
        <v>3</v>
      </c>
      <c r="D10">
        <v>1</v>
      </c>
      <c r="E10" t="s">
        <v>52</v>
      </c>
    </row>
    <row r="11" spans="1:5" x14ac:dyDescent="0.25">
      <c r="A11" t="str">
        <f>Table2[[#This Row],[Lineage]]&amp;"-"&amp;Table2[[#This Row],[Gen]]</f>
        <v>9-5</v>
      </c>
      <c r="B11">
        <v>9</v>
      </c>
      <c r="C11">
        <v>5</v>
      </c>
      <c r="D11">
        <v>3</v>
      </c>
      <c r="E11" t="s">
        <v>52</v>
      </c>
    </row>
    <row r="12" spans="1:5" x14ac:dyDescent="0.25">
      <c r="A12" t="str">
        <f>Table2[[#This Row],[Lineage]]&amp;"-"&amp;Table2[[#This Row],[Gen]]</f>
        <v>9-6</v>
      </c>
      <c r="B12">
        <v>9</v>
      </c>
      <c r="C12">
        <v>6</v>
      </c>
      <c r="D12">
        <v>1</v>
      </c>
      <c r="E12" t="s">
        <v>52</v>
      </c>
    </row>
    <row r="13" spans="1:5" x14ac:dyDescent="0.25">
      <c r="A13" t="str">
        <f>Table2[[#This Row],[Lineage]]&amp;"-"&amp;Table2[[#This Row],[Gen]]</f>
        <v>9-7</v>
      </c>
      <c r="B13">
        <v>9</v>
      </c>
      <c r="C13">
        <v>7</v>
      </c>
      <c r="D13">
        <v>1</v>
      </c>
      <c r="E13" t="s">
        <v>52</v>
      </c>
    </row>
    <row r="14" spans="1:5" x14ac:dyDescent="0.25">
      <c r="A14" t="str">
        <f>Table2[[#This Row],[Lineage]]&amp;"-"&amp;Table2[[#This Row],[Gen]]</f>
        <v>9-10</v>
      </c>
      <c r="B14">
        <v>9</v>
      </c>
      <c r="C14">
        <v>10</v>
      </c>
      <c r="D14">
        <v>1</v>
      </c>
      <c r="E14" t="s">
        <v>52</v>
      </c>
    </row>
    <row r="15" spans="1:5" x14ac:dyDescent="0.25">
      <c r="A15" t="str">
        <f>Table2[[#This Row],[Lineage]]&amp;"-"&amp;Table2[[#This Row],[Gen]]</f>
        <v>9-16</v>
      </c>
      <c r="B15">
        <v>9</v>
      </c>
      <c r="C15">
        <v>16</v>
      </c>
      <c r="D15">
        <v>1</v>
      </c>
      <c r="E15" t="s">
        <v>52</v>
      </c>
    </row>
    <row r="16" spans="1:5" x14ac:dyDescent="0.25">
      <c r="A16" t="str">
        <f>Table2[[#This Row],[Lineage]]&amp;"-"&amp;Table2[[#This Row],[Gen]]</f>
        <v>9-20</v>
      </c>
      <c r="B16">
        <v>9</v>
      </c>
      <c r="C16">
        <v>20</v>
      </c>
      <c r="D16">
        <v>1</v>
      </c>
      <c r="E16" t="s">
        <v>52</v>
      </c>
    </row>
    <row r="17" spans="1:5" x14ac:dyDescent="0.25">
      <c r="A17" t="str">
        <f>Table2[[#This Row],[Lineage]]&amp;"-"&amp;Table2[[#This Row],[Gen]]</f>
        <v>10-1</v>
      </c>
      <c r="B17">
        <v>10</v>
      </c>
      <c r="C17">
        <v>1</v>
      </c>
      <c r="D17">
        <v>5</v>
      </c>
      <c r="E17" t="s">
        <v>45</v>
      </c>
    </row>
    <row r="18" spans="1:5" x14ac:dyDescent="0.25">
      <c r="A18" t="str">
        <f>Table2[[#This Row],[Lineage]]&amp;"-"&amp;Table2[[#This Row],[Gen]]</f>
        <v>10-2</v>
      </c>
      <c r="B18">
        <v>10</v>
      </c>
      <c r="C18">
        <v>2</v>
      </c>
      <c r="D18">
        <v>3</v>
      </c>
      <c r="E18" t="s">
        <v>45</v>
      </c>
    </row>
    <row r="19" spans="1:5" x14ac:dyDescent="0.25">
      <c r="A19" t="str">
        <f>Table2[[#This Row],[Lineage]]&amp;"-"&amp;Table2[[#This Row],[Gen]]</f>
        <v>10-3</v>
      </c>
      <c r="B19">
        <v>10</v>
      </c>
      <c r="C19">
        <v>3</v>
      </c>
      <c r="D19">
        <v>2</v>
      </c>
      <c r="E19" t="s">
        <v>45</v>
      </c>
    </row>
    <row r="20" spans="1:5" x14ac:dyDescent="0.25">
      <c r="A20" t="str">
        <f>Table2[[#This Row],[Lineage]]&amp;"-"&amp;Table2[[#This Row],[Gen]]</f>
        <v>10-4</v>
      </c>
      <c r="B20">
        <v>10</v>
      </c>
      <c r="C20">
        <v>4</v>
      </c>
      <c r="D20">
        <v>1</v>
      </c>
      <c r="E20" t="s">
        <v>45</v>
      </c>
    </row>
    <row r="21" spans="1:5" x14ac:dyDescent="0.25">
      <c r="A21" t="str">
        <f>Table2[[#This Row],[Lineage]]&amp;"-"&amp;Table2[[#This Row],[Gen]]</f>
        <v>10-6</v>
      </c>
      <c r="B21">
        <v>10</v>
      </c>
      <c r="C21">
        <v>6</v>
      </c>
      <c r="D21">
        <v>1</v>
      </c>
      <c r="E21" t="s">
        <v>45</v>
      </c>
    </row>
    <row r="22" spans="1:5" x14ac:dyDescent="0.25">
      <c r="A22" t="str">
        <f>Table2[[#This Row],[Lineage]]&amp;"-"&amp;Table2[[#This Row],[Gen]]</f>
        <v>10-7</v>
      </c>
      <c r="B22">
        <v>10</v>
      </c>
      <c r="C22">
        <v>7</v>
      </c>
      <c r="D22">
        <v>1</v>
      </c>
      <c r="E22" t="s">
        <v>45</v>
      </c>
    </row>
    <row r="23" spans="1:5" x14ac:dyDescent="0.25">
      <c r="A23" t="str">
        <f>Table2[[#This Row],[Lineage]]&amp;"-"&amp;Table2[[#This Row],[Gen]]</f>
        <v>10-8</v>
      </c>
      <c r="B23">
        <v>10</v>
      </c>
      <c r="C23">
        <v>8</v>
      </c>
      <c r="D23">
        <v>1</v>
      </c>
      <c r="E23" t="s">
        <v>45</v>
      </c>
    </row>
    <row r="24" spans="1:5" x14ac:dyDescent="0.25">
      <c r="A24" t="str">
        <f>Table2[[#This Row],[Lineage]]&amp;"-"&amp;Table2[[#This Row],[Gen]]</f>
        <v>10-9</v>
      </c>
      <c r="B24">
        <v>10</v>
      </c>
      <c r="C24">
        <v>9</v>
      </c>
      <c r="D24">
        <v>1</v>
      </c>
      <c r="E24" t="s">
        <v>45</v>
      </c>
    </row>
    <row r="25" spans="1:5" x14ac:dyDescent="0.25">
      <c r="A25" t="str">
        <f>Table2[[#This Row],[Lineage]]&amp;"-"&amp;Table2[[#This Row],[Gen]]</f>
        <v>10-10</v>
      </c>
      <c r="B25">
        <v>10</v>
      </c>
      <c r="C25">
        <v>10</v>
      </c>
      <c r="D25">
        <v>1</v>
      </c>
      <c r="E25" t="s">
        <v>45</v>
      </c>
    </row>
    <row r="26" spans="1:5" x14ac:dyDescent="0.25">
      <c r="A26" t="str">
        <f>Table2[[#This Row],[Lineage]]&amp;"-"&amp;Table2[[#This Row],[Gen]]</f>
        <v>10-14</v>
      </c>
      <c r="B26">
        <v>10</v>
      </c>
      <c r="C26">
        <v>14</v>
      </c>
      <c r="D26">
        <v>1</v>
      </c>
      <c r="E26" t="s">
        <v>45</v>
      </c>
    </row>
    <row r="27" spans="1:5" x14ac:dyDescent="0.25">
      <c r="A27" t="str">
        <f>Table2[[#This Row],[Lineage]]&amp;"-"&amp;Table2[[#This Row],[Gen]]</f>
        <v>10-16</v>
      </c>
      <c r="B27">
        <v>10</v>
      </c>
      <c r="C27">
        <v>16</v>
      </c>
      <c r="D27">
        <v>2</v>
      </c>
      <c r="E27" t="s">
        <v>45</v>
      </c>
    </row>
    <row r="28" spans="1:5" x14ac:dyDescent="0.25">
      <c r="A28" t="str">
        <f>Table2[[#This Row],[Lineage]]&amp;"-"&amp;Table2[[#This Row],[Gen]]</f>
        <v>10-17</v>
      </c>
      <c r="B28">
        <v>10</v>
      </c>
      <c r="C28">
        <v>17</v>
      </c>
      <c r="D28">
        <v>2</v>
      </c>
      <c r="E28" t="s">
        <v>45</v>
      </c>
    </row>
    <row r="29" spans="1:5" x14ac:dyDescent="0.25">
      <c r="A29" t="str">
        <f>Table2[[#This Row],[Lineage]]&amp;"-"&amp;Table2[[#This Row],[Gen]]</f>
        <v>10-19</v>
      </c>
      <c r="B29">
        <v>10</v>
      </c>
      <c r="C29">
        <v>19</v>
      </c>
      <c r="D29">
        <v>1</v>
      </c>
      <c r="E29" t="s">
        <v>45</v>
      </c>
    </row>
    <row r="30" spans="1:5" x14ac:dyDescent="0.25">
      <c r="A30" t="str">
        <f>Table2[[#This Row],[Lineage]]&amp;"-"&amp;Table2[[#This Row],[Gen]]</f>
        <v>10-20</v>
      </c>
      <c r="B30">
        <v>10</v>
      </c>
      <c r="C30">
        <v>20</v>
      </c>
      <c r="D30">
        <v>1</v>
      </c>
      <c r="E30" t="s">
        <v>45</v>
      </c>
    </row>
    <row r="31" spans="1:5" x14ac:dyDescent="0.25">
      <c r="A31" t="str">
        <f>Table2[[#This Row],[Lineage]]&amp;"-"&amp;Table2[[#This Row],[Gen]]</f>
        <v>13-1</v>
      </c>
      <c r="B31">
        <v>13</v>
      </c>
      <c r="C31">
        <v>1</v>
      </c>
      <c r="D31">
        <v>2</v>
      </c>
      <c r="E31" t="s">
        <v>53</v>
      </c>
    </row>
    <row r="32" spans="1:5" x14ac:dyDescent="0.25">
      <c r="A32" t="str">
        <f>Table2[[#This Row],[Lineage]]&amp;"-"&amp;Table2[[#This Row],[Gen]]</f>
        <v>13-2</v>
      </c>
      <c r="B32">
        <v>13</v>
      </c>
      <c r="C32">
        <v>2</v>
      </c>
      <c r="D32">
        <v>2</v>
      </c>
      <c r="E32" t="s">
        <v>53</v>
      </c>
    </row>
    <row r="33" spans="1:5" x14ac:dyDescent="0.25">
      <c r="A33" t="str">
        <f>Table2[[#This Row],[Lineage]]&amp;"-"&amp;Table2[[#This Row],[Gen]]</f>
        <v>13-3</v>
      </c>
      <c r="B33">
        <v>13</v>
      </c>
      <c r="C33">
        <v>3</v>
      </c>
      <c r="D33">
        <v>1</v>
      </c>
      <c r="E33" t="s">
        <v>53</v>
      </c>
    </row>
    <row r="34" spans="1:5" x14ac:dyDescent="0.25">
      <c r="A34" t="str">
        <f>Table2[[#This Row],[Lineage]]&amp;"-"&amp;Table2[[#This Row],[Gen]]</f>
        <v>14-10</v>
      </c>
      <c r="B34">
        <v>14</v>
      </c>
      <c r="C34">
        <v>10</v>
      </c>
      <c r="D34">
        <v>1</v>
      </c>
      <c r="E34" t="s">
        <v>54</v>
      </c>
    </row>
    <row r="35" spans="1:5" x14ac:dyDescent="0.25">
      <c r="A35" t="str">
        <f>Table2[[#This Row],[Lineage]]&amp;"-"&amp;Table2[[#This Row],[Gen]]</f>
        <v>15-3</v>
      </c>
      <c r="B35">
        <v>15</v>
      </c>
      <c r="C35">
        <v>3</v>
      </c>
      <c r="D35">
        <v>1</v>
      </c>
      <c r="E35" t="s">
        <v>55</v>
      </c>
    </row>
    <row r="36" spans="1:5" x14ac:dyDescent="0.25">
      <c r="A36" t="str">
        <f>Table2[[#This Row],[Lineage]]&amp;"-"&amp;Table2[[#This Row],[Gen]]</f>
        <v>16-2</v>
      </c>
      <c r="B36">
        <v>16</v>
      </c>
      <c r="C36">
        <v>2</v>
      </c>
      <c r="D36">
        <v>1</v>
      </c>
      <c r="E36" t="s">
        <v>56</v>
      </c>
    </row>
    <row r="37" spans="1:5" x14ac:dyDescent="0.25">
      <c r="A37" t="str">
        <f>Table2[[#This Row],[Lineage]]&amp;"-"&amp;Table2[[#This Row],[Gen]]</f>
        <v>17-3</v>
      </c>
      <c r="B37">
        <v>17</v>
      </c>
      <c r="C37">
        <v>3</v>
      </c>
      <c r="D37">
        <v>1</v>
      </c>
      <c r="E37" t="s">
        <v>57</v>
      </c>
    </row>
    <row r="38" spans="1:5" x14ac:dyDescent="0.25">
      <c r="A38" t="str">
        <f>Table2[[#This Row],[Lineage]]&amp;"-"&amp;Table2[[#This Row],[Gen]]</f>
        <v>18-3</v>
      </c>
      <c r="B38">
        <v>18</v>
      </c>
      <c r="C38">
        <v>3</v>
      </c>
      <c r="D38">
        <v>1</v>
      </c>
      <c r="E38" t="s">
        <v>58</v>
      </c>
    </row>
    <row r="39" spans="1:5" x14ac:dyDescent="0.25">
      <c r="A39" t="str">
        <f>Table2[[#This Row],[Lineage]]&amp;"-"&amp;Table2[[#This Row],[Gen]]</f>
        <v>18-4</v>
      </c>
      <c r="B39">
        <v>18</v>
      </c>
      <c r="C39">
        <v>4</v>
      </c>
      <c r="D39">
        <v>1</v>
      </c>
      <c r="E39" t="s">
        <v>58</v>
      </c>
    </row>
    <row r="40" spans="1:5" x14ac:dyDescent="0.25">
      <c r="A40" t="str">
        <f>Table2[[#This Row],[Lineage]]&amp;"-"&amp;Table2[[#This Row],[Gen]]</f>
        <v>21-1</v>
      </c>
      <c r="B40">
        <v>21</v>
      </c>
      <c r="C40">
        <v>1</v>
      </c>
      <c r="D40">
        <v>4</v>
      </c>
      <c r="E40" t="s">
        <v>59</v>
      </c>
    </row>
    <row r="41" spans="1:5" x14ac:dyDescent="0.25">
      <c r="A41" t="str">
        <f>Table2[[#This Row],[Lineage]]&amp;"-"&amp;Table2[[#This Row],[Gen]]</f>
        <v>21-2</v>
      </c>
      <c r="B41">
        <v>21</v>
      </c>
      <c r="C41">
        <v>2</v>
      </c>
      <c r="D41">
        <v>2</v>
      </c>
      <c r="E41" t="s">
        <v>59</v>
      </c>
    </row>
    <row r="42" spans="1:5" x14ac:dyDescent="0.25">
      <c r="A42" t="str">
        <f>Table2[[#This Row],[Lineage]]&amp;"-"&amp;Table2[[#This Row],[Gen]]</f>
        <v>21-3</v>
      </c>
      <c r="B42">
        <v>21</v>
      </c>
      <c r="C42">
        <v>3</v>
      </c>
      <c r="D42">
        <v>4</v>
      </c>
      <c r="E42" t="s">
        <v>59</v>
      </c>
    </row>
    <row r="43" spans="1:5" x14ac:dyDescent="0.25">
      <c r="A43" t="str">
        <f>Table2[[#This Row],[Lineage]]&amp;"-"&amp;Table2[[#This Row],[Gen]]</f>
        <v>21-4</v>
      </c>
      <c r="B43">
        <v>21</v>
      </c>
      <c r="C43">
        <v>4</v>
      </c>
      <c r="D43">
        <v>1</v>
      </c>
      <c r="E43" t="s">
        <v>59</v>
      </c>
    </row>
    <row r="44" spans="1:5" x14ac:dyDescent="0.25">
      <c r="A44" t="str">
        <f>Table2[[#This Row],[Lineage]]&amp;"-"&amp;Table2[[#This Row],[Gen]]</f>
        <v>21-5</v>
      </c>
      <c r="B44">
        <v>21</v>
      </c>
      <c r="C44">
        <v>5</v>
      </c>
      <c r="D44">
        <v>5</v>
      </c>
      <c r="E44" t="s">
        <v>59</v>
      </c>
    </row>
    <row r="45" spans="1:5" x14ac:dyDescent="0.25">
      <c r="A45" t="str">
        <f>Table2[[#This Row],[Lineage]]&amp;"-"&amp;Table2[[#This Row],[Gen]]</f>
        <v>22-1</v>
      </c>
      <c r="B45">
        <v>22</v>
      </c>
      <c r="C45">
        <v>1</v>
      </c>
      <c r="D45">
        <v>3</v>
      </c>
      <c r="E45" t="s">
        <v>60</v>
      </c>
    </row>
    <row r="46" spans="1:5" x14ac:dyDescent="0.25">
      <c r="A46" t="str">
        <f>Table2[[#This Row],[Lineage]]&amp;"-"&amp;Table2[[#This Row],[Gen]]</f>
        <v>22-2</v>
      </c>
      <c r="B46">
        <v>22</v>
      </c>
      <c r="C46">
        <v>2</v>
      </c>
      <c r="D46">
        <v>3</v>
      </c>
      <c r="E46" t="s">
        <v>60</v>
      </c>
    </row>
    <row r="47" spans="1:5" x14ac:dyDescent="0.25">
      <c r="A47" t="str">
        <f>Table2[[#This Row],[Lineage]]&amp;"-"&amp;Table2[[#This Row],[Gen]]</f>
        <v>22-3</v>
      </c>
      <c r="B47">
        <v>22</v>
      </c>
      <c r="C47">
        <v>3</v>
      </c>
      <c r="D47">
        <v>1</v>
      </c>
      <c r="E47" t="s">
        <v>60</v>
      </c>
    </row>
    <row r="48" spans="1:5" x14ac:dyDescent="0.25">
      <c r="A48" t="str">
        <f>Table2[[#This Row],[Lineage]]&amp;"-"&amp;Table2[[#This Row],[Gen]]</f>
        <v>22-5</v>
      </c>
      <c r="B48">
        <v>22</v>
      </c>
      <c r="C48">
        <v>5</v>
      </c>
      <c r="D48">
        <v>2</v>
      </c>
      <c r="E48" t="s">
        <v>60</v>
      </c>
    </row>
    <row r="49" spans="1:5" x14ac:dyDescent="0.25">
      <c r="A49" t="str">
        <f>Table2[[#This Row],[Lineage]]&amp;"-"&amp;Table2[[#This Row],[Gen]]</f>
        <v>22-6</v>
      </c>
      <c r="B49">
        <v>22</v>
      </c>
      <c r="C49">
        <v>6</v>
      </c>
      <c r="D49">
        <v>2</v>
      </c>
      <c r="E49" t="s">
        <v>60</v>
      </c>
    </row>
    <row r="50" spans="1:5" x14ac:dyDescent="0.25">
      <c r="A50" t="str">
        <f>Table2[[#This Row],[Lineage]]&amp;"-"&amp;Table2[[#This Row],[Gen]]</f>
        <v>22-7</v>
      </c>
      <c r="B50">
        <v>22</v>
      </c>
      <c r="C50">
        <v>7</v>
      </c>
      <c r="D50">
        <v>8</v>
      </c>
      <c r="E50" t="s">
        <v>60</v>
      </c>
    </row>
    <row r="51" spans="1:5" x14ac:dyDescent="0.25">
      <c r="A51" t="str">
        <f>Table2[[#This Row],[Lineage]]&amp;"-"&amp;Table2[[#This Row],[Gen]]</f>
        <v>22-9</v>
      </c>
      <c r="B51">
        <v>22</v>
      </c>
      <c r="C51">
        <v>9</v>
      </c>
      <c r="D51">
        <v>2</v>
      </c>
      <c r="E51" t="s">
        <v>60</v>
      </c>
    </row>
    <row r="52" spans="1:5" x14ac:dyDescent="0.25">
      <c r="A52" t="str">
        <f>Table2[[#This Row],[Lineage]]&amp;"-"&amp;Table2[[#This Row],[Gen]]</f>
        <v>23-1</v>
      </c>
      <c r="B52">
        <v>23</v>
      </c>
      <c r="C52">
        <v>1</v>
      </c>
      <c r="D52">
        <v>5</v>
      </c>
      <c r="E52" t="s">
        <v>61</v>
      </c>
    </row>
    <row r="53" spans="1:5" x14ac:dyDescent="0.25">
      <c r="A53" t="str">
        <f>Table2[[#This Row],[Lineage]]&amp;"-"&amp;Table2[[#This Row],[Gen]]</f>
        <v>23-2</v>
      </c>
      <c r="B53">
        <v>23</v>
      </c>
      <c r="C53">
        <v>2</v>
      </c>
      <c r="D53">
        <v>2</v>
      </c>
      <c r="E53" t="s">
        <v>61</v>
      </c>
    </row>
    <row r="54" spans="1:5" x14ac:dyDescent="0.25">
      <c r="A54" t="str">
        <f>Table2[[#This Row],[Lineage]]&amp;"-"&amp;Table2[[#This Row],[Gen]]</f>
        <v>23-3</v>
      </c>
      <c r="B54">
        <v>23</v>
      </c>
      <c r="C54">
        <v>3</v>
      </c>
      <c r="D54">
        <v>1</v>
      </c>
      <c r="E54" t="s">
        <v>61</v>
      </c>
    </row>
    <row r="55" spans="1:5" x14ac:dyDescent="0.25">
      <c r="A55" t="str">
        <f>Table2[[#This Row],[Lineage]]&amp;"-"&amp;Table2[[#This Row],[Gen]]</f>
        <v>23-4</v>
      </c>
      <c r="B55">
        <v>23</v>
      </c>
      <c r="C55">
        <v>4</v>
      </c>
      <c r="D55">
        <v>1</v>
      </c>
      <c r="E55" t="s">
        <v>61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E519F-78D0-4168-816A-925EBB77EDF8}">
  <dimension ref="E4:H14"/>
  <sheetViews>
    <sheetView workbookViewId="0">
      <selection activeCell="E5" sqref="E5:E14"/>
    </sheetView>
  </sheetViews>
  <sheetFormatPr defaultRowHeight="15" x14ac:dyDescent="0.25"/>
  <cols>
    <col min="5" max="5" width="24.5703125" customWidth="1"/>
    <col min="6" max="6" width="22" customWidth="1"/>
    <col min="7" max="7" width="20.28515625" customWidth="1"/>
  </cols>
  <sheetData>
    <row r="4" spans="5:8" x14ac:dyDescent="0.25">
      <c r="E4" t="s">
        <v>172</v>
      </c>
      <c r="F4" t="s">
        <v>185</v>
      </c>
      <c r="G4" t="s">
        <v>162</v>
      </c>
      <c r="H4" t="s">
        <v>184</v>
      </c>
    </row>
    <row r="5" spans="5:8" x14ac:dyDescent="0.25">
      <c r="E5" s="1" t="s">
        <v>163</v>
      </c>
      <c r="F5" s="2">
        <v>11</v>
      </c>
      <c r="G5" s="2">
        <v>1379</v>
      </c>
      <c r="H5" t="s">
        <v>173</v>
      </c>
    </row>
    <row r="6" spans="5:8" x14ac:dyDescent="0.25">
      <c r="E6" s="1" t="s">
        <v>164</v>
      </c>
      <c r="F6" s="2">
        <v>5</v>
      </c>
      <c r="G6" s="2">
        <v>529</v>
      </c>
      <c r="H6" t="s">
        <v>174</v>
      </c>
    </row>
    <row r="7" spans="5:8" x14ac:dyDescent="0.25">
      <c r="E7" s="1" t="s">
        <v>165</v>
      </c>
      <c r="F7" s="2">
        <v>16</v>
      </c>
      <c r="G7" s="2">
        <v>324</v>
      </c>
      <c r="H7" t="s">
        <v>175</v>
      </c>
    </row>
    <row r="8" spans="5:8" x14ac:dyDescent="0.25">
      <c r="E8" s="1" t="s">
        <v>166</v>
      </c>
      <c r="F8" s="2">
        <v>10</v>
      </c>
      <c r="G8" s="2">
        <v>73</v>
      </c>
      <c r="H8" t="s">
        <v>176</v>
      </c>
    </row>
    <row r="9" spans="5:8" x14ac:dyDescent="0.25">
      <c r="E9" s="1" t="s">
        <v>167</v>
      </c>
      <c r="F9" s="2">
        <v>20</v>
      </c>
      <c r="G9" s="2">
        <v>42</v>
      </c>
      <c r="H9" t="s">
        <v>177</v>
      </c>
    </row>
    <row r="10" spans="5:8" x14ac:dyDescent="0.25">
      <c r="E10" s="1" t="s">
        <v>179</v>
      </c>
      <c r="F10" s="2">
        <v>17</v>
      </c>
      <c r="G10" s="2">
        <v>408</v>
      </c>
      <c r="H10" t="s">
        <v>178</v>
      </c>
    </row>
    <row r="11" spans="5:8" x14ac:dyDescent="0.25">
      <c r="E11" s="1" t="s">
        <v>168</v>
      </c>
      <c r="F11" s="2">
        <v>6</v>
      </c>
      <c r="G11" s="2">
        <v>790</v>
      </c>
      <c r="H11" t="s">
        <v>180</v>
      </c>
    </row>
    <row r="12" spans="5:8" x14ac:dyDescent="0.25">
      <c r="E12" s="1" t="s">
        <v>169</v>
      </c>
      <c r="F12" s="2">
        <v>8</v>
      </c>
      <c r="G12" s="2">
        <v>707</v>
      </c>
      <c r="H12" t="s">
        <v>181</v>
      </c>
    </row>
    <row r="13" spans="5:8" x14ac:dyDescent="0.25">
      <c r="E13" s="1" t="s">
        <v>170</v>
      </c>
      <c r="F13" s="2">
        <v>6</v>
      </c>
      <c r="G13" s="2">
        <v>21</v>
      </c>
      <c r="H13" t="s">
        <v>182</v>
      </c>
    </row>
    <row r="14" spans="5:8" x14ac:dyDescent="0.25">
      <c r="E14" s="1" t="s">
        <v>171</v>
      </c>
      <c r="F14" s="2">
        <v>2</v>
      </c>
      <c r="G14" s="2">
        <v>1548</v>
      </c>
      <c r="H14" t="s">
        <v>183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7D830-03EC-4984-AA1E-8848CD9304BB}">
  <dimension ref="F5:N85"/>
  <sheetViews>
    <sheetView topLeftCell="B25" workbookViewId="0">
      <selection activeCell="N59" sqref="N59"/>
    </sheetView>
  </sheetViews>
  <sheetFormatPr defaultRowHeight="15" x14ac:dyDescent="0.25"/>
  <cols>
    <col min="6" max="6" width="24.140625" customWidth="1"/>
    <col min="7" max="7" width="25.85546875" customWidth="1"/>
    <col min="8" max="8" width="30.7109375" customWidth="1"/>
    <col min="11" max="11" width="37" customWidth="1"/>
    <col min="12" max="12" width="22.140625" customWidth="1"/>
    <col min="13" max="13" width="37" customWidth="1"/>
    <col min="14" max="14" width="23.5703125" customWidth="1"/>
  </cols>
  <sheetData>
    <row r="5" spans="6:14" x14ac:dyDescent="0.25">
      <c r="F5" t="s">
        <v>172</v>
      </c>
      <c r="G5" t="s">
        <v>185</v>
      </c>
      <c r="H5" t="s">
        <v>162</v>
      </c>
      <c r="K5" t="s">
        <v>72</v>
      </c>
      <c r="L5" t="s">
        <v>172</v>
      </c>
      <c r="M5" t="s">
        <v>185</v>
      </c>
      <c r="N5" t="s">
        <v>162</v>
      </c>
    </row>
    <row r="6" spans="6:14" x14ac:dyDescent="0.25">
      <c r="F6" t="s">
        <v>163</v>
      </c>
      <c r="G6">
        <v>11</v>
      </c>
      <c r="H6">
        <v>1379</v>
      </c>
      <c r="K6" t="s">
        <v>105</v>
      </c>
      <c r="L6" t="s">
        <v>167</v>
      </c>
      <c r="M6">
        <v>1</v>
      </c>
      <c r="N6">
        <v>12</v>
      </c>
    </row>
    <row r="7" spans="6:14" x14ac:dyDescent="0.25">
      <c r="F7" t="s">
        <v>164</v>
      </c>
      <c r="G7">
        <v>5</v>
      </c>
      <c r="H7">
        <v>529</v>
      </c>
      <c r="K7" t="s">
        <v>106</v>
      </c>
      <c r="L7" t="s">
        <v>167</v>
      </c>
      <c r="M7">
        <v>1</v>
      </c>
      <c r="N7">
        <v>0</v>
      </c>
    </row>
    <row r="8" spans="6:14" x14ac:dyDescent="0.25">
      <c r="F8" t="s">
        <v>165</v>
      </c>
      <c r="G8">
        <v>16</v>
      </c>
      <c r="H8">
        <v>324</v>
      </c>
      <c r="K8" t="s">
        <v>107</v>
      </c>
      <c r="L8" t="s">
        <v>167</v>
      </c>
      <c r="M8">
        <v>1</v>
      </c>
      <c r="N8">
        <v>4</v>
      </c>
    </row>
    <row r="9" spans="6:14" x14ac:dyDescent="0.25">
      <c r="F9" t="s">
        <v>166</v>
      </c>
      <c r="G9">
        <v>10</v>
      </c>
      <c r="H9">
        <v>73</v>
      </c>
      <c r="K9" t="s">
        <v>108</v>
      </c>
      <c r="L9" t="s">
        <v>167</v>
      </c>
      <c r="M9">
        <v>1</v>
      </c>
      <c r="N9">
        <v>11</v>
      </c>
    </row>
    <row r="10" spans="6:14" x14ac:dyDescent="0.25">
      <c r="F10" t="s">
        <v>167</v>
      </c>
      <c r="G10">
        <v>20</v>
      </c>
      <c r="H10">
        <v>42</v>
      </c>
      <c r="K10" t="s">
        <v>109</v>
      </c>
      <c r="L10" t="s">
        <v>167</v>
      </c>
      <c r="M10">
        <v>2</v>
      </c>
      <c r="N10">
        <v>10</v>
      </c>
    </row>
    <row r="11" spans="6:14" x14ac:dyDescent="0.25">
      <c r="F11" t="s">
        <v>179</v>
      </c>
      <c r="G11">
        <v>17</v>
      </c>
      <c r="H11">
        <v>408</v>
      </c>
      <c r="K11" t="s">
        <v>110</v>
      </c>
      <c r="L11" t="s">
        <v>167</v>
      </c>
      <c r="M11">
        <v>1</v>
      </c>
      <c r="N11">
        <v>2</v>
      </c>
    </row>
    <row r="12" spans="6:14" x14ac:dyDescent="0.25">
      <c r="F12" t="s">
        <v>168</v>
      </c>
      <c r="G12">
        <v>6</v>
      </c>
      <c r="H12">
        <v>790</v>
      </c>
      <c r="K12" t="s">
        <v>111</v>
      </c>
      <c r="L12" t="s">
        <v>167</v>
      </c>
      <c r="M12">
        <v>3</v>
      </c>
      <c r="N12">
        <v>2</v>
      </c>
    </row>
    <row r="13" spans="6:14" x14ac:dyDescent="0.25">
      <c r="F13" t="s">
        <v>169</v>
      </c>
      <c r="G13">
        <v>8</v>
      </c>
      <c r="H13">
        <v>707</v>
      </c>
      <c r="K13" t="s">
        <v>112</v>
      </c>
      <c r="L13" t="s">
        <v>167</v>
      </c>
      <c r="M13">
        <v>1</v>
      </c>
      <c r="N13">
        <v>0</v>
      </c>
    </row>
    <row r="14" spans="6:14" x14ac:dyDescent="0.25">
      <c r="F14" t="s">
        <v>170</v>
      </c>
      <c r="G14">
        <v>6</v>
      </c>
      <c r="H14">
        <v>21</v>
      </c>
      <c r="K14" t="s">
        <v>113</v>
      </c>
      <c r="L14" t="s">
        <v>167</v>
      </c>
      <c r="M14">
        <v>1</v>
      </c>
      <c r="N14">
        <v>0</v>
      </c>
    </row>
    <row r="15" spans="6:14" x14ac:dyDescent="0.25">
      <c r="F15" t="s">
        <v>171</v>
      </c>
      <c r="G15">
        <v>2</v>
      </c>
      <c r="H15">
        <v>1548</v>
      </c>
      <c r="K15" t="s">
        <v>114</v>
      </c>
      <c r="L15" t="s">
        <v>167</v>
      </c>
      <c r="M15">
        <v>1</v>
      </c>
      <c r="N15">
        <v>1</v>
      </c>
    </row>
    <row r="16" spans="6:14" x14ac:dyDescent="0.25">
      <c r="K16" t="s">
        <v>115</v>
      </c>
      <c r="L16" t="s">
        <v>167</v>
      </c>
      <c r="M16">
        <v>1</v>
      </c>
      <c r="N16">
        <v>0</v>
      </c>
    </row>
    <row r="17" spans="6:14" x14ac:dyDescent="0.25">
      <c r="K17" t="s">
        <v>116</v>
      </c>
      <c r="L17" t="s">
        <v>167</v>
      </c>
      <c r="M17">
        <v>1</v>
      </c>
      <c r="N17">
        <v>0</v>
      </c>
    </row>
    <row r="18" spans="6:14" x14ac:dyDescent="0.25">
      <c r="K18" t="s">
        <v>117</v>
      </c>
      <c r="L18" t="s">
        <v>167</v>
      </c>
      <c r="M18">
        <v>1</v>
      </c>
      <c r="N18">
        <v>0</v>
      </c>
    </row>
    <row r="19" spans="6:14" x14ac:dyDescent="0.25">
      <c r="F19" t="s">
        <v>172</v>
      </c>
      <c r="G19" t="s">
        <v>185</v>
      </c>
      <c r="H19" t="s">
        <v>162</v>
      </c>
      <c r="K19" t="s">
        <v>118</v>
      </c>
      <c r="L19" t="s">
        <v>167</v>
      </c>
      <c r="M19">
        <v>1</v>
      </c>
      <c r="N19">
        <v>0</v>
      </c>
    </row>
    <row r="20" spans="6:14" x14ac:dyDescent="0.25">
      <c r="F20" t="s">
        <v>163</v>
      </c>
      <c r="G20">
        <f>SUMIF(Table6[Skill Category],F20,Table6[Total Times Generated])</f>
        <v>14</v>
      </c>
      <c r="H20">
        <f>SUMIF(Table6[Skill Category],F20,Table6[Total Times Executed])</f>
        <v>1431</v>
      </c>
      <c r="K20" t="s">
        <v>119</v>
      </c>
      <c r="L20" t="s">
        <v>167</v>
      </c>
      <c r="M20">
        <v>1</v>
      </c>
      <c r="N20">
        <v>0</v>
      </c>
    </row>
    <row r="21" spans="6:14" x14ac:dyDescent="0.25">
      <c r="F21" t="s">
        <v>164</v>
      </c>
      <c r="G21">
        <f>SUMIF(Table6[Skill Category],F21,Table6[Total Times Generated])</f>
        <v>6</v>
      </c>
      <c r="H21">
        <f>SUMIF(Table6[Skill Category],F21,Table6[Total Times Executed])</f>
        <v>529</v>
      </c>
      <c r="K21" t="s">
        <v>120</v>
      </c>
      <c r="L21" t="s">
        <v>167</v>
      </c>
      <c r="M21">
        <v>1</v>
      </c>
      <c r="N21">
        <v>0</v>
      </c>
    </row>
    <row r="22" spans="6:14" x14ac:dyDescent="0.25">
      <c r="F22" t="s">
        <v>167</v>
      </c>
      <c r="G22">
        <f>SUMIF(Table6[Skill Category],F22,Table6[Total Times Generated])</f>
        <v>20</v>
      </c>
      <c r="H22">
        <f>SUMIF(Table6[Skill Category],F22,Table6[Total Times Executed])</f>
        <v>42</v>
      </c>
      <c r="K22" t="s">
        <v>121</v>
      </c>
      <c r="L22" t="s">
        <v>167</v>
      </c>
      <c r="M22">
        <v>1</v>
      </c>
      <c r="N22">
        <v>0</v>
      </c>
    </row>
    <row r="23" spans="6:14" x14ac:dyDescent="0.25">
      <c r="F23" t="s">
        <v>179</v>
      </c>
      <c r="G23">
        <f>SUMIF(Table6[Skill Category],F23,Table6[Total Times Generated])</f>
        <v>39</v>
      </c>
      <c r="H23">
        <f>SUMIF(Table6[Skill Category],F23,Table6[Total Times Executed])</f>
        <v>753</v>
      </c>
      <c r="K23" t="s">
        <v>153</v>
      </c>
      <c r="L23" t="s">
        <v>171</v>
      </c>
      <c r="M23">
        <v>0</v>
      </c>
      <c r="N23">
        <v>286</v>
      </c>
    </row>
    <row r="24" spans="6:14" x14ac:dyDescent="0.25">
      <c r="F24" t="s">
        <v>168</v>
      </c>
      <c r="G24">
        <f>SUMIF(Table6[Skill Category],F24,Table6[Total Times Generated])</f>
        <v>6</v>
      </c>
      <c r="H24">
        <f>SUMIF(Table6[Skill Category],F24,Table6[Total Times Executed])</f>
        <v>790</v>
      </c>
      <c r="K24" t="s">
        <v>154</v>
      </c>
      <c r="L24" t="s">
        <v>171</v>
      </c>
      <c r="M24">
        <v>1</v>
      </c>
      <c r="N24">
        <v>0</v>
      </c>
    </row>
    <row r="25" spans="6:14" x14ac:dyDescent="0.25">
      <c r="F25" t="s">
        <v>169</v>
      </c>
      <c r="G25">
        <f>SUMIF(Table6[Skill Category],F25,Table6[Total Times Generated])</f>
        <v>8</v>
      </c>
      <c r="H25">
        <f>SUMIF(Table6[Skill Category],F25,Table6[Total Times Executed])</f>
        <v>707</v>
      </c>
      <c r="K25" t="s">
        <v>155</v>
      </c>
      <c r="L25" t="s">
        <v>171</v>
      </c>
      <c r="M25">
        <v>0</v>
      </c>
      <c r="N25">
        <v>130</v>
      </c>
    </row>
    <row r="26" spans="6:14" x14ac:dyDescent="0.25">
      <c r="F26" t="s">
        <v>170</v>
      </c>
      <c r="G26">
        <f>SUMIF(Table6[Skill Category],F26,Table6[Total Times Generated])</f>
        <v>6</v>
      </c>
      <c r="H26">
        <f>SUMIF(Table6[Skill Category],F26,Table6[Total Times Executed])</f>
        <v>21</v>
      </c>
      <c r="K26" t="s">
        <v>156</v>
      </c>
      <c r="L26" t="s">
        <v>171</v>
      </c>
      <c r="M26">
        <v>1</v>
      </c>
      <c r="N26">
        <v>0</v>
      </c>
    </row>
    <row r="27" spans="6:14" x14ac:dyDescent="0.25">
      <c r="F27" t="s">
        <v>171</v>
      </c>
      <c r="G27">
        <f>SUMIF(Table6[Skill Category],F27,Table6[Total Times Generated])</f>
        <v>2</v>
      </c>
      <c r="H27">
        <f>SUMIF(Table6[Skill Category],F27,Table6[Total Times Executed])</f>
        <v>1548</v>
      </c>
      <c r="K27" t="s">
        <v>158</v>
      </c>
      <c r="L27" t="s">
        <v>171</v>
      </c>
      <c r="M27">
        <v>0</v>
      </c>
      <c r="N27">
        <v>1132</v>
      </c>
    </row>
    <row r="28" spans="6:14" x14ac:dyDescent="0.25">
      <c r="K28" t="s">
        <v>143</v>
      </c>
      <c r="L28" t="s">
        <v>169</v>
      </c>
      <c r="M28">
        <v>1</v>
      </c>
      <c r="N28">
        <v>1</v>
      </c>
    </row>
    <row r="29" spans="6:14" x14ac:dyDescent="0.25">
      <c r="K29" t="s">
        <v>144</v>
      </c>
      <c r="L29" t="s">
        <v>169</v>
      </c>
      <c r="M29">
        <v>1</v>
      </c>
      <c r="N29">
        <v>7</v>
      </c>
    </row>
    <row r="30" spans="6:14" x14ac:dyDescent="0.25">
      <c r="K30" t="s">
        <v>145</v>
      </c>
      <c r="L30" t="s">
        <v>169</v>
      </c>
      <c r="M30">
        <v>1</v>
      </c>
      <c r="N30">
        <v>0</v>
      </c>
    </row>
    <row r="31" spans="6:14" x14ac:dyDescent="0.25">
      <c r="K31" t="s">
        <v>146</v>
      </c>
      <c r="L31" t="s">
        <v>169</v>
      </c>
      <c r="M31">
        <v>0</v>
      </c>
      <c r="N31">
        <v>281</v>
      </c>
    </row>
    <row r="32" spans="6:14" x14ac:dyDescent="0.25">
      <c r="K32" t="s">
        <v>147</v>
      </c>
      <c r="L32" t="s">
        <v>169</v>
      </c>
      <c r="M32">
        <v>0</v>
      </c>
      <c r="N32">
        <v>347</v>
      </c>
    </row>
    <row r="33" spans="11:14" x14ac:dyDescent="0.25">
      <c r="K33" t="s">
        <v>148</v>
      </c>
      <c r="L33" t="s">
        <v>169</v>
      </c>
      <c r="M33">
        <v>1</v>
      </c>
      <c r="N33">
        <v>0</v>
      </c>
    </row>
    <row r="34" spans="11:14" x14ac:dyDescent="0.25">
      <c r="K34" t="s">
        <v>149</v>
      </c>
      <c r="L34" t="s">
        <v>169</v>
      </c>
      <c r="M34">
        <v>3</v>
      </c>
      <c r="N34">
        <v>55</v>
      </c>
    </row>
    <row r="35" spans="11:14" x14ac:dyDescent="0.25">
      <c r="K35" t="s">
        <v>151</v>
      </c>
      <c r="L35" t="s">
        <v>169</v>
      </c>
      <c r="M35">
        <v>1</v>
      </c>
      <c r="N35">
        <v>16</v>
      </c>
    </row>
    <row r="36" spans="11:14" x14ac:dyDescent="0.25">
      <c r="K36" t="s">
        <v>138</v>
      </c>
      <c r="L36" t="s">
        <v>168</v>
      </c>
      <c r="M36">
        <v>3</v>
      </c>
      <c r="N36">
        <v>128</v>
      </c>
    </row>
    <row r="37" spans="11:14" x14ac:dyDescent="0.25">
      <c r="K37" t="s">
        <v>139</v>
      </c>
      <c r="L37" t="s">
        <v>168</v>
      </c>
      <c r="M37">
        <v>1</v>
      </c>
      <c r="N37">
        <v>0</v>
      </c>
    </row>
    <row r="38" spans="11:14" x14ac:dyDescent="0.25">
      <c r="K38" t="s">
        <v>140</v>
      </c>
      <c r="L38" t="s">
        <v>168</v>
      </c>
      <c r="M38">
        <v>0</v>
      </c>
      <c r="N38">
        <v>587</v>
      </c>
    </row>
    <row r="39" spans="11:14" x14ac:dyDescent="0.25">
      <c r="K39" t="s">
        <v>141</v>
      </c>
      <c r="L39" t="s">
        <v>168</v>
      </c>
      <c r="M39">
        <v>1</v>
      </c>
      <c r="N39">
        <v>72</v>
      </c>
    </row>
    <row r="40" spans="11:14" x14ac:dyDescent="0.25">
      <c r="K40" t="s">
        <v>142</v>
      </c>
      <c r="L40" t="s">
        <v>168</v>
      </c>
      <c r="M40">
        <v>1</v>
      </c>
      <c r="N40">
        <v>3</v>
      </c>
    </row>
    <row r="41" spans="11:14" x14ac:dyDescent="0.25">
      <c r="K41" t="s">
        <v>135</v>
      </c>
      <c r="L41" t="s">
        <v>170</v>
      </c>
      <c r="M41">
        <v>2</v>
      </c>
      <c r="N41">
        <v>14</v>
      </c>
    </row>
    <row r="42" spans="11:14" x14ac:dyDescent="0.25">
      <c r="K42" t="s">
        <v>136</v>
      </c>
      <c r="L42" t="s">
        <v>170</v>
      </c>
      <c r="M42">
        <v>1</v>
      </c>
      <c r="N42">
        <v>0</v>
      </c>
    </row>
    <row r="43" spans="11:14" x14ac:dyDescent="0.25">
      <c r="K43" t="s">
        <v>137</v>
      </c>
      <c r="L43" t="s">
        <v>170</v>
      </c>
      <c r="M43">
        <v>1</v>
      </c>
      <c r="N43">
        <v>0</v>
      </c>
    </row>
    <row r="44" spans="11:14" x14ac:dyDescent="0.25">
      <c r="K44" t="s">
        <v>150</v>
      </c>
      <c r="L44" t="s">
        <v>170</v>
      </c>
      <c r="M44">
        <v>1</v>
      </c>
      <c r="N44">
        <v>0</v>
      </c>
    </row>
    <row r="45" spans="11:14" x14ac:dyDescent="0.25">
      <c r="K45" t="s">
        <v>157</v>
      </c>
      <c r="L45" t="s">
        <v>170</v>
      </c>
      <c r="M45">
        <v>1</v>
      </c>
      <c r="N45">
        <v>7</v>
      </c>
    </row>
    <row r="46" spans="11:14" x14ac:dyDescent="0.25">
      <c r="K46" t="s">
        <v>88</v>
      </c>
      <c r="L46" t="s">
        <v>163</v>
      </c>
      <c r="M46">
        <v>1</v>
      </c>
      <c r="N46">
        <v>47</v>
      </c>
    </row>
    <row r="47" spans="11:14" x14ac:dyDescent="0.25">
      <c r="K47" t="s">
        <v>89</v>
      </c>
      <c r="L47" t="s">
        <v>179</v>
      </c>
      <c r="M47">
        <v>1</v>
      </c>
      <c r="N47">
        <v>0</v>
      </c>
    </row>
    <row r="48" spans="11:14" x14ac:dyDescent="0.25">
      <c r="K48" t="s">
        <v>90</v>
      </c>
      <c r="L48" t="s">
        <v>179</v>
      </c>
      <c r="M48">
        <v>2</v>
      </c>
      <c r="N48">
        <v>24</v>
      </c>
    </row>
    <row r="49" spans="11:14" x14ac:dyDescent="0.25">
      <c r="K49" t="s">
        <v>91</v>
      </c>
      <c r="L49" t="s">
        <v>179</v>
      </c>
      <c r="M49">
        <v>1</v>
      </c>
      <c r="N49">
        <v>2</v>
      </c>
    </row>
    <row r="50" spans="11:14" x14ac:dyDescent="0.25">
      <c r="K50" t="s">
        <v>92</v>
      </c>
      <c r="L50" t="s">
        <v>164</v>
      </c>
      <c r="M50">
        <v>1</v>
      </c>
      <c r="N50">
        <v>0</v>
      </c>
    </row>
    <row r="51" spans="11:14" x14ac:dyDescent="0.25">
      <c r="K51" t="s">
        <v>93</v>
      </c>
      <c r="L51" t="s">
        <v>179</v>
      </c>
      <c r="M51">
        <v>1</v>
      </c>
      <c r="N51">
        <v>30</v>
      </c>
    </row>
    <row r="52" spans="11:14" x14ac:dyDescent="0.25">
      <c r="K52" t="s">
        <v>94</v>
      </c>
      <c r="L52" t="s">
        <v>179</v>
      </c>
      <c r="M52">
        <v>6</v>
      </c>
      <c r="N52">
        <v>159</v>
      </c>
    </row>
    <row r="53" spans="11:14" x14ac:dyDescent="0.25">
      <c r="K53" t="s">
        <v>95</v>
      </c>
      <c r="L53" t="s">
        <v>163</v>
      </c>
      <c r="M53">
        <v>1</v>
      </c>
      <c r="N53">
        <v>0</v>
      </c>
    </row>
    <row r="54" spans="11:14" x14ac:dyDescent="0.25">
      <c r="K54" t="s">
        <v>96</v>
      </c>
      <c r="L54" t="s">
        <v>163</v>
      </c>
      <c r="M54">
        <v>1</v>
      </c>
      <c r="N54">
        <v>5</v>
      </c>
    </row>
    <row r="55" spans="11:14" x14ac:dyDescent="0.25">
      <c r="K55" t="s">
        <v>97</v>
      </c>
      <c r="L55" t="s">
        <v>179</v>
      </c>
      <c r="M55">
        <v>1</v>
      </c>
      <c r="N55">
        <v>57</v>
      </c>
    </row>
    <row r="56" spans="11:14" x14ac:dyDescent="0.25">
      <c r="K56" t="s">
        <v>74</v>
      </c>
      <c r="L56" t="s">
        <v>163</v>
      </c>
      <c r="M56">
        <v>3</v>
      </c>
      <c r="N56">
        <v>44</v>
      </c>
    </row>
    <row r="57" spans="11:14" x14ac:dyDescent="0.25">
      <c r="K57" t="s">
        <v>76</v>
      </c>
      <c r="L57" t="s">
        <v>163</v>
      </c>
      <c r="M57">
        <v>3</v>
      </c>
      <c r="N57">
        <v>175</v>
      </c>
    </row>
    <row r="58" spans="11:14" x14ac:dyDescent="0.25">
      <c r="K58" t="s">
        <v>79</v>
      </c>
      <c r="L58" t="s">
        <v>163</v>
      </c>
      <c r="M58">
        <v>1</v>
      </c>
      <c r="N58">
        <v>1</v>
      </c>
    </row>
    <row r="59" spans="11:14" x14ac:dyDescent="0.25">
      <c r="K59" t="s">
        <v>80</v>
      </c>
      <c r="L59" t="s">
        <v>163</v>
      </c>
      <c r="M59">
        <v>1</v>
      </c>
      <c r="N59">
        <v>1145</v>
      </c>
    </row>
    <row r="60" spans="11:14" x14ac:dyDescent="0.25">
      <c r="K60" t="s">
        <v>81</v>
      </c>
      <c r="L60" t="s">
        <v>163</v>
      </c>
      <c r="M60">
        <v>1</v>
      </c>
      <c r="N60">
        <v>0</v>
      </c>
    </row>
    <row r="61" spans="11:14" x14ac:dyDescent="0.25">
      <c r="K61" t="s">
        <v>82</v>
      </c>
      <c r="L61" t="s">
        <v>163</v>
      </c>
      <c r="M61">
        <v>1</v>
      </c>
      <c r="N61">
        <v>14</v>
      </c>
    </row>
    <row r="62" spans="11:14" x14ac:dyDescent="0.25">
      <c r="K62" t="s">
        <v>83</v>
      </c>
      <c r="L62" t="s">
        <v>163</v>
      </c>
      <c r="M62">
        <v>1</v>
      </c>
      <c r="N62">
        <v>0</v>
      </c>
    </row>
    <row r="63" spans="11:14" x14ac:dyDescent="0.25">
      <c r="K63" t="s">
        <v>123</v>
      </c>
      <c r="L63" t="s">
        <v>179</v>
      </c>
      <c r="M63">
        <v>1</v>
      </c>
      <c r="N63">
        <v>0</v>
      </c>
    </row>
    <row r="64" spans="11:14" x14ac:dyDescent="0.25">
      <c r="K64" t="s">
        <v>124</v>
      </c>
      <c r="L64" t="s">
        <v>179</v>
      </c>
      <c r="M64">
        <v>1</v>
      </c>
      <c r="N64">
        <v>0</v>
      </c>
    </row>
    <row r="65" spans="11:14" x14ac:dyDescent="0.25">
      <c r="K65" t="s">
        <v>125</v>
      </c>
      <c r="L65" t="s">
        <v>179</v>
      </c>
      <c r="M65">
        <v>4</v>
      </c>
      <c r="N65">
        <v>273</v>
      </c>
    </row>
    <row r="66" spans="11:14" x14ac:dyDescent="0.25">
      <c r="K66" t="s">
        <v>126</v>
      </c>
      <c r="L66" t="s">
        <v>179</v>
      </c>
      <c r="M66">
        <v>1</v>
      </c>
      <c r="N66">
        <v>0</v>
      </c>
    </row>
    <row r="67" spans="11:14" x14ac:dyDescent="0.25">
      <c r="K67" t="s">
        <v>127</v>
      </c>
      <c r="L67" t="s">
        <v>179</v>
      </c>
      <c r="M67">
        <v>3</v>
      </c>
      <c r="N67">
        <v>11</v>
      </c>
    </row>
    <row r="68" spans="11:14" x14ac:dyDescent="0.25">
      <c r="K68" t="s">
        <v>128</v>
      </c>
      <c r="L68" t="s">
        <v>179</v>
      </c>
      <c r="M68">
        <v>1</v>
      </c>
      <c r="N68">
        <v>0</v>
      </c>
    </row>
    <row r="69" spans="11:14" x14ac:dyDescent="0.25">
      <c r="K69" t="s">
        <v>129</v>
      </c>
      <c r="L69" t="s">
        <v>179</v>
      </c>
      <c r="M69">
        <v>2</v>
      </c>
      <c r="N69">
        <v>118</v>
      </c>
    </row>
    <row r="70" spans="11:14" x14ac:dyDescent="0.25">
      <c r="K70" t="s">
        <v>130</v>
      </c>
      <c r="L70" t="s">
        <v>179</v>
      </c>
      <c r="M70">
        <v>1</v>
      </c>
      <c r="N70">
        <v>1</v>
      </c>
    </row>
    <row r="71" spans="11:14" x14ac:dyDescent="0.25">
      <c r="K71" t="s">
        <v>131</v>
      </c>
      <c r="L71" t="s">
        <v>179</v>
      </c>
      <c r="M71">
        <v>1</v>
      </c>
      <c r="N71">
        <v>4</v>
      </c>
    </row>
    <row r="72" spans="11:14" x14ac:dyDescent="0.25">
      <c r="K72" t="s">
        <v>132</v>
      </c>
      <c r="L72" t="s">
        <v>179</v>
      </c>
      <c r="M72">
        <v>1</v>
      </c>
      <c r="N72">
        <v>0</v>
      </c>
    </row>
    <row r="73" spans="11:14" x14ac:dyDescent="0.25">
      <c r="K73" t="s">
        <v>133</v>
      </c>
      <c r="L73" t="s">
        <v>179</v>
      </c>
      <c r="M73">
        <v>1</v>
      </c>
      <c r="N73">
        <v>1</v>
      </c>
    </row>
    <row r="74" spans="11:14" x14ac:dyDescent="0.25">
      <c r="K74" t="s">
        <v>75</v>
      </c>
      <c r="L74" t="s">
        <v>164</v>
      </c>
      <c r="M74">
        <v>1</v>
      </c>
      <c r="N74">
        <v>0</v>
      </c>
    </row>
    <row r="75" spans="11:14" x14ac:dyDescent="0.25">
      <c r="K75" t="s">
        <v>77</v>
      </c>
      <c r="L75" t="s">
        <v>164</v>
      </c>
      <c r="M75">
        <v>1</v>
      </c>
      <c r="N75">
        <v>0</v>
      </c>
    </row>
    <row r="76" spans="11:14" x14ac:dyDescent="0.25">
      <c r="K76" t="s">
        <v>78</v>
      </c>
      <c r="L76" t="s">
        <v>164</v>
      </c>
      <c r="M76">
        <v>0</v>
      </c>
      <c r="N76">
        <v>521</v>
      </c>
    </row>
    <row r="77" spans="11:14" x14ac:dyDescent="0.25">
      <c r="K77" t="s">
        <v>84</v>
      </c>
      <c r="L77" t="s">
        <v>164</v>
      </c>
      <c r="M77">
        <v>1</v>
      </c>
      <c r="N77">
        <v>5</v>
      </c>
    </row>
    <row r="78" spans="11:14" x14ac:dyDescent="0.25">
      <c r="K78" t="s">
        <v>85</v>
      </c>
      <c r="L78" t="s">
        <v>164</v>
      </c>
      <c r="M78">
        <v>1</v>
      </c>
      <c r="N78">
        <v>0</v>
      </c>
    </row>
    <row r="79" spans="11:14" x14ac:dyDescent="0.25">
      <c r="K79" t="s">
        <v>86</v>
      </c>
      <c r="L79" t="s">
        <v>164</v>
      </c>
      <c r="M79">
        <v>1</v>
      </c>
      <c r="N79">
        <v>3</v>
      </c>
    </row>
    <row r="80" spans="11:14" x14ac:dyDescent="0.25">
      <c r="K80" t="s">
        <v>98</v>
      </c>
      <c r="L80" t="s">
        <v>179</v>
      </c>
      <c r="M80">
        <v>3</v>
      </c>
      <c r="N80">
        <v>9</v>
      </c>
    </row>
    <row r="81" spans="11:14" x14ac:dyDescent="0.25">
      <c r="K81" t="s">
        <v>99</v>
      </c>
      <c r="L81" t="s">
        <v>179</v>
      </c>
      <c r="M81">
        <v>1</v>
      </c>
      <c r="N81">
        <v>0</v>
      </c>
    </row>
    <row r="82" spans="11:14" x14ac:dyDescent="0.25">
      <c r="K82" t="s">
        <v>100</v>
      </c>
      <c r="L82" t="s">
        <v>179</v>
      </c>
      <c r="M82">
        <v>1</v>
      </c>
      <c r="N82">
        <v>0</v>
      </c>
    </row>
    <row r="83" spans="11:14" x14ac:dyDescent="0.25">
      <c r="K83" t="s">
        <v>101</v>
      </c>
      <c r="L83" t="s">
        <v>179</v>
      </c>
      <c r="M83">
        <v>1</v>
      </c>
      <c r="N83">
        <v>35</v>
      </c>
    </row>
    <row r="84" spans="11:14" x14ac:dyDescent="0.25">
      <c r="K84" t="s">
        <v>102</v>
      </c>
      <c r="L84" t="s">
        <v>179</v>
      </c>
      <c r="M84">
        <v>1</v>
      </c>
      <c r="N84">
        <v>14</v>
      </c>
    </row>
    <row r="85" spans="11:14" x14ac:dyDescent="0.25">
      <c r="K85" t="s">
        <v>103</v>
      </c>
      <c r="L85" t="s">
        <v>179</v>
      </c>
      <c r="M85">
        <v>3</v>
      </c>
      <c r="N85">
        <v>15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43873-E9C7-4645-8485-E90DE30BBF8F}">
  <dimension ref="F5:N78"/>
  <sheetViews>
    <sheetView tabSelected="1" topLeftCell="B12" workbookViewId="0">
      <selection activeCell="F19" sqref="F19:H27"/>
    </sheetView>
  </sheetViews>
  <sheetFormatPr defaultRowHeight="15" x14ac:dyDescent="0.25"/>
  <cols>
    <col min="6" max="6" width="24.140625" customWidth="1"/>
    <col min="7" max="7" width="25.85546875" customWidth="1"/>
    <col min="8" max="8" width="30.7109375" customWidth="1"/>
    <col min="11" max="11" width="37" customWidth="1"/>
    <col min="12" max="12" width="22.140625" customWidth="1"/>
    <col min="13" max="13" width="37" customWidth="1"/>
    <col min="14" max="14" width="23.5703125" customWidth="1"/>
  </cols>
  <sheetData>
    <row r="5" spans="6:14" x14ac:dyDescent="0.25">
      <c r="F5" t="s">
        <v>172</v>
      </c>
      <c r="G5" t="s">
        <v>185</v>
      </c>
      <c r="H5" t="s">
        <v>162</v>
      </c>
      <c r="K5" t="s">
        <v>72</v>
      </c>
      <c r="L5" t="s">
        <v>172</v>
      </c>
      <c r="M5" t="s">
        <v>185</v>
      </c>
      <c r="N5" t="s">
        <v>162</v>
      </c>
    </row>
    <row r="6" spans="6:14" x14ac:dyDescent="0.25">
      <c r="F6" t="s">
        <v>163</v>
      </c>
      <c r="G6">
        <v>11</v>
      </c>
      <c r="H6">
        <v>1379</v>
      </c>
      <c r="K6" t="s">
        <v>105</v>
      </c>
      <c r="L6" t="s">
        <v>167</v>
      </c>
      <c r="M6">
        <v>1</v>
      </c>
      <c r="N6">
        <v>12</v>
      </c>
    </row>
    <row r="7" spans="6:14" x14ac:dyDescent="0.25">
      <c r="F7" t="s">
        <v>164</v>
      </c>
      <c r="G7">
        <v>5</v>
      </c>
      <c r="H7">
        <v>529</v>
      </c>
      <c r="K7" t="s">
        <v>106</v>
      </c>
      <c r="L7" t="s">
        <v>167</v>
      </c>
      <c r="M7">
        <v>1</v>
      </c>
      <c r="N7">
        <v>0</v>
      </c>
    </row>
    <row r="8" spans="6:14" x14ac:dyDescent="0.25">
      <c r="F8" t="s">
        <v>165</v>
      </c>
      <c r="G8">
        <v>16</v>
      </c>
      <c r="H8">
        <v>324</v>
      </c>
      <c r="K8" t="s">
        <v>107</v>
      </c>
      <c r="L8" t="s">
        <v>167</v>
      </c>
      <c r="M8">
        <v>1</v>
      </c>
      <c r="N8">
        <v>4</v>
      </c>
    </row>
    <row r="9" spans="6:14" x14ac:dyDescent="0.25">
      <c r="F9" t="s">
        <v>166</v>
      </c>
      <c r="G9">
        <v>10</v>
      </c>
      <c r="H9">
        <v>73</v>
      </c>
      <c r="K9" t="s">
        <v>108</v>
      </c>
      <c r="L9" t="s">
        <v>167</v>
      </c>
      <c r="M9">
        <v>1</v>
      </c>
      <c r="N9">
        <v>11</v>
      </c>
    </row>
    <row r="10" spans="6:14" x14ac:dyDescent="0.25">
      <c r="F10" t="s">
        <v>167</v>
      </c>
      <c r="G10">
        <v>20</v>
      </c>
      <c r="H10">
        <v>42</v>
      </c>
      <c r="K10" t="s">
        <v>109</v>
      </c>
      <c r="L10" t="s">
        <v>167</v>
      </c>
      <c r="M10">
        <v>2</v>
      </c>
      <c r="N10">
        <v>10</v>
      </c>
    </row>
    <row r="11" spans="6:14" x14ac:dyDescent="0.25">
      <c r="F11" t="s">
        <v>179</v>
      </c>
      <c r="G11">
        <v>17</v>
      </c>
      <c r="H11">
        <v>408</v>
      </c>
      <c r="K11" t="s">
        <v>110</v>
      </c>
      <c r="L11" t="s">
        <v>167</v>
      </c>
      <c r="M11">
        <v>1</v>
      </c>
      <c r="N11">
        <v>2</v>
      </c>
    </row>
    <row r="12" spans="6:14" x14ac:dyDescent="0.25">
      <c r="F12" t="s">
        <v>168</v>
      </c>
      <c r="G12">
        <v>6</v>
      </c>
      <c r="H12">
        <v>790</v>
      </c>
      <c r="K12" t="s">
        <v>111</v>
      </c>
      <c r="L12" t="s">
        <v>167</v>
      </c>
      <c r="M12">
        <v>3</v>
      </c>
      <c r="N12">
        <v>2</v>
      </c>
    </row>
    <row r="13" spans="6:14" x14ac:dyDescent="0.25">
      <c r="F13" t="s">
        <v>169</v>
      </c>
      <c r="G13">
        <v>8</v>
      </c>
      <c r="H13">
        <v>707</v>
      </c>
      <c r="K13" t="s">
        <v>112</v>
      </c>
      <c r="L13" t="s">
        <v>167</v>
      </c>
      <c r="M13">
        <v>1</v>
      </c>
      <c r="N13">
        <v>0</v>
      </c>
    </row>
    <row r="14" spans="6:14" x14ac:dyDescent="0.25">
      <c r="F14" t="s">
        <v>170</v>
      </c>
      <c r="G14">
        <v>6</v>
      </c>
      <c r="H14">
        <v>21</v>
      </c>
      <c r="K14" t="s">
        <v>113</v>
      </c>
      <c r="L14" t="s">
        <v>167</v>
      </c>
      <c r="M14">
        <v>1</v>
      </c>
      <c r="N14">
        <v>0</v>
      </c>
    </row>
    <row r="15" spans="6:14" x14ac:dyDescent="0.25">
      <c r="F15" t="s">
        <v>171</v>
      </c>
      <c r="G15">
        <v>2</v>
      </c>
      <c r="H15">
        <v>1548</v>
      </c>
      <c r="K15" t="s">
        <v>114</v>
      </c>
      <c r="L15" t="s">
        <v>167</v>
      </c>
      <c r="M15">
        <v>1</v>
      </c>
      <c r="N15">
        <v>1</v>
      </c>
    </row>
    <row r="16" spans="6:14" x14ac:dyDescent="0.25">
      <c r="K16" t="s">
        <v>115</v>
      </c>
      <c r="L16" t="s">
        <v>167</v>
      </c>
      <c r="M16">
        <v>1</v>
      </c>
      <c r="N16">
        <v>0</v>
      </c>
    </row>
    <row r="17" spans="6:14" x14ac:dyDescent="0.25">
      <c r="K17" t="s">
        <v>116</v>
      </c>
      <c r="L17" t="s">
        <v>167</v>
      </c>
      <c r="M17">
        <v>1</v>
      </c>
      <c r="N17">
        <v>0</v>
      </c>
    </row>
    <row r="18" spans="6:14" x14ac:dyDescent="0.25">
      <c r="K18" t="s">
        <v>117</v>
      </c>
      <c r="L18" t="s">
        <v>167</v>
      </c>
      <c r="M18">
        <v>1</v>
      </c>
      <c r="N18">
        <v>0</v>
      </c>
    </row>
    <row r="19" spans="6:14" x14ac:dyDescent="0.25">
      <c r="F19" t="s">
        <v>172</v>
      </c>
      <c r="G19" t="s">
        <v>185</v>
      </c>
      <c r="H19" t="s">
        <v>162</v>
      </c>
      <c r="K19" t="s">
        <v>118</v>
      </c>
      <c r="L19" t="s">
        <v>167</v>
      </c>
      <c r="M19">
        <v>1</v>
      </c>
      <c r="N19">
        <v>0</v>
      </c>
    </row>
    <row r="20" spans="6:14" x14ac:dyDescent="0.25">
      <c r="F20" t="s">
        <v>163</v>
      </c>
      <c r="G20">
        <f>SUMIF(Table69[Skill Category],F20,Table69[Total Times Generated])</f>
        <v>14</v>
      </c>
      <c r="H20">
        <f>SUMIF(Table69[Skill Category],F20,Table69[Total Times Executed])</f>
        <v>293</v>
      </c>
      <c r="K20" t="s">
        <v>119</v>
      </c>
      <c r="L20" t="s">
        <v>167</v>
      </c>
      <c r="M20">
        <v>1</v>
      </c>
      <c r="N20">
        <v>0</v>
      </c>
    </row>
    <row r="21" spans="6:14" x14ac:dyDescent="0.25">
      <c r="F21" t="s">
        <v>164</v>
      </c>
      <c r="G21">
        <f>SUMIF(Table69[Skill Category],F21,Table69[Total Times Generated])</f>
        <v>6</v>
      </c>
      <c r="H21">
        <f>SUMIF(Table69[Skill Category],F21,Table69[Total Times Executed])</f>
        <v>8</v>
      </c>
      <c r="K21" t="s">
        <v>120</v>
      </c>
      <c r="L21" t="s">
        <v>167</v>
      </c>
      <c r="M21">
        <v>1</v>
      </c>
      <c r="N21">
        <v>0</v>
      </c>
    </row>
    <row r="22" spans="6:14" x14ac:dyDescent="0.25">
      <c r="F22" t="s">
        <v>167</v>
      </c>
      <c r="G22">
        <f>SUMIF(Table69[Skill Category],F22,Table69[Total Times Generated])</f>
        <v>20</v>
      </c>
      <c r="H22">
        <f>SUMIF(Table69[Skill Category],F22,Table69[Total Times Executed])</f>
        <v>42</v>
      </c>
      <c r="K22" t="s">
        <v>121</v>
      </c>
      <c r="L22" t="s">
        <v>167</v>
      </c>
      <c r="M22">
        <v>1</v>
      </c>
      <c r="N22">
        <v>0</v>
      </c>
    </row>
    <row r="23" spans="6:14" x14ac:dyDescent="0.25">
      <c r="F23" t="s">
        <v>179</v>
      </c>
      <c r="G23">
        <f>SUMIF(Table69[Skill Category],F23,Table69[Total Times Generated])</f>
        <v>39</v>
      </c>
      <c r="H23">
        <f>SUMIF(Table69[Skill Category],F23,Table69[Total Times Executed])</f>
        <v>753</v>
      </c>
      <c r="K23" t="s">
        <v>154</v>
      </c>
      <c r="L23" t="s">
        <v>171</v>
      </c>
      <c r="M23">
        <v>1</v>
      </c>
      <c r="N23">
        <v>0</v>
      </c>
    </row>
    <row r="24" spans="6:14" x14ac:dyDescent="0.25">
      <c r="F24" t="s">
        <v>168</v>
      </c>
      <c r="G24">
        <f>SUMIF(Table69[Skill Category],F24,Table69[Total Times Generated])</f>
        <v>6</v>
      </c>
      <c r="H24">
        <f>SUMIF(Table69[Skill Category],F24,Table69[Total Times Executed])</f>
        <v>203</v>
      </c>
      <c r="K24" t="s">
        <v>156</v>
      </c>
      <c r="L24" t="s">
        <v>171</v>
      </c>
      <c r="M24">
        <v>1</v>
      </c>
      <c r="N24">
        <v>0</v>
      </c>
    </row>
    <row r="25" spans="6:14" x14ac:dyDescent="0.25">
      <c r="F25" t="s">
        <v>169</v>
      </c>
      <c r="G25">
        <f>SUMIF(Table69[Skill Category],F25,Table69[Total Times Generated])</f>
        <v>8</v>
      </c>
      <c r="H25">
        <f>SUMIF(Table69[Skill Category],F25,Table69[Total Times Executed])</f>
        <v>79</v>
      </c>
      <c r="K25" t="s">
        <v>143</v>
      </c>
      <c r="L25" t="s">
        <v>169</v>
      </c>
      <c r="M25">
        <v>1</v>
      </c>
      <c r="N25">
        <v>1</v>
      </c>
    </row>
    <row r="26" spans="6:14" x14ac:dyDescent="0.25">
      <c r="F26" t="s">
        <v>170</v>
      </c>
      <c r="G26">
        <f>SUMIF(Table69[Skill Category],F26,Table69[Total Times Generated])</f>
        <v>6</v>
      </c>
      <c r="H26">
        <f>SUMIF(Table69[Skill Category],F26,Table69[Total Times Executed])</f>
        <v>21</v>
      </c>
      <c r="K26" t="s">
        <v>144</v>
      </c>
      <c r="L26" t="s">
        <v>169</v>
      </c>
      <c r="M26">
        <v>1</v>
      </c>
      <c r="N26">
        <v>7</v>
      </c>
    </row>
    <row r="27" spans="6:14" x14ac:dyDescent="0.25">
      <c r="F27" t="s">
        <v>171</v>
      </c>
      <c r="G27">
        <f>SUMIF(Table69[Skill Category],F27,Table69[Total Times Generated])</f>
        <v>2</v>
      </c>
      <c r="H27">
        <f>SUMIF(Table69[Skill Category],F27,Table69[Total Times Executed])</f>
        <v>0</v>
      </c>
      <c r="K27" t="s">
        <v>145</v>
      </c>
      <c r="L27" t="s">
        <v>169</v>
      </c>
      <c r="M27">
        <v>1</v>
      </c>
      <c r="N27">
        <v>0</v>
      </c>
    </row>
    <row r="28" spans="6:14" x14ac:dyDescent="0.25">
      <c r="K28" t="s">
        <v>148</v>
      </c>
      <c r="L28" t="s">
        <v>169</v>
      </c>
      <c r="M28">
        <v>1</v>
      </c>
      <c r="N28">
        <v>0</v>
      </c>
    </row>
    <row r="29" spans="6:14" x14ac:dyDescent="0.25">
      <c r="K29" t="s">
        <v>149</v>
      </c>
      <c r="L29" t="s">
        <v>169</v>
      </c>
      <c r="M29">
        <v>3</v>
      </c>
      <c r="N29">
        <v>55</v>
      </c>
    </row>
    <row r="30" spans="6:14" x14ac:dyDescent="0.25">
      <c r="K30" t="s">
        <v>151</v>
      </c>
      <c r="L30" t="s">
        <v>169</v>
      </c>
      <c r="M30">
        <v>1</v>
      </c>
      <c r="N30">
        <v>16</v>
      </c>
    </row>
    <row r="31" spans="6:14" x14ac:dyDescent="0.25">
      <c r="K31" t="s">
        <v>138</v>
      </c>
      <c r="L31" t="s">
        <v>168</v>
      </c>
      <c r="M31">
        <v>3</v>
      </c>
      <c r="N31">
        <v>128</v>
      </c>
    </row>
    <row r="32" spans="6:14" x14ac:dyDescent="0.25">
      <c r="K32" t="s">
        <v>139</v>
      </c>
      <c r="L32" t="s">
        <v>168</v>
      </c>
      <c r="M32">
        <v>1</v>
      </c>
      <c r="N32">
        <v>0</v>
      </c>
    </row>
    <row r="33" spans="11:14" x14ac:dyDescent="0.25">
      <c r="K33" t="s">
        <v>141</v>
      </c>
      <c r="L33" t="s">
        <v>168</v>
      </c>
      <c r="M33">
        <v>1</v>
      </c>
      <c r="N33">
        <v>72</v>
      </c>
    </row>
    <row r="34" spans="11:14" x14ac:dyDescent="0.25">
      <c r="K34" t="s">
        <v>142</v>
      </c>
      <c r="L34" t="s">
        <v>168</v>
      </c>
      <c r="M34">
        <v>1</v>
      </c>
      <c r="N34">
        <v>3</v>
      </c>
    </row>
    <row r="35" spans="11:14" x14ac:dyDescent="0.25">
      <c r="K35" t="s">
        <v>135</v>
      </c>
      <c r="L35" t="s">
        <v>170</v>
      </c>
      <c r="M35">
        <v>2</v>
      </c>
      <c r="N35">
        <v>14</v>
      </c>
    </row>
    <row r="36" spans="11:14" x14ac:dyDescent="0.25">
      <c r="K36" t="s">
        <v>136</v>
      </c>
      <c r="L36" t="s">
        <v>170</v>
      </c>
      <c r="M36">
        <v>1</v>
      </c>
      <c r="N36">
        <v>0</v>
      </c>
    </row>
    <row r="37" spans="11:14" x14ac:dyDescent="0.25">
      <c r="K37" t="s">
        <v>137</v>
      </c>
      <c r="L37" t="s">
        <v>170</v>
      </c>
      <c r="M37">
        <v>1</v>
      </c>
      <c r="N37">
        <v>0</v>
      </c>
    </row>
    <row r="38" spans="11:14" x14ac:dyDescent="0.25">
      <c r="K38" t="s">
        <v>150</v>
      </c>
      <c r="L38" t="s">
        <v>170</v>
      </c>
      <c r="M38">
        <v>1</v>
      </c>
      <c r="N38">
        <v>0</v>
      </c>
    </row>
    <row r="39" spans="11:14" x14ac:dyDescent="0.25">
      <c r="K39" t="s">
        <v>157</v>
      </c>
      <c r="L39" t="s">
        <v>170</v>
      </c>
      <c r="M39">
        <v>1</v>
      </c>
      <c r="N39">
        <v>7</v>
      </c>
    </row>
    <row r="40" spans="11:14" x14ac:dyDescent="0.25">
      <c r="K40" t="s">
        <v>88</v>
      </c>
      <c r="L40" t="s">
        <v>163</v>
      </c>
      <c r="M40">
        <v>1</v>
      </c>
      <c r="N40">
        <v>47</v>
      </c>
    </row>
    <row r="41" spans="11:14" x14ac:dyDescent="0.25">
      <c r="K41" t="s">
        <v>89</v>
      </c>
      <c r="L41" t="s">
        <v>179</v>
      </c>
      <c r="M41">
        <v>1</v>
      </c>
      <c r="N41">
        <v>0</v>
      </c>
    </row>
    <row r="42" spans="11:14" x14ac:dyDescent="0.25">
      <c r="K42" t="s">
        <v>90</v>
      </c>
      <c r="L42" t="s">
        <v>179</v>
      </c>
      <c r="M42">
        <v>2</v>
      </c>
      <c r="N42">
        <v>24</v>
      </c>
    </row>
    <row r="43" spans="11:14" x14ac:dyDescent="0.25">
      <c r="K43" t="s">
        <v>91</v>
      </c>
      <c r="L43" t="s">
        <v>179</v>
      </c>
      <c r="M43">
        <v>1</v>
      </c>
      <c r="N43">
        <v>2</v>
      </c>
    </row>
    <row r="44" spans="11:14" x14ac:dyDescent="0.25">
      <c r="K44" t="s">
        <v>92</v>
      </c>
      <c r="L44" t="s">
        <v>164</v>
      </c>
      <c r="M44">
        <v>1</v>
      </c>
      <c r="N44">
        <v>0</v>
      </c>
    </row>
    <row r="45" spans="11:14" x14ac:dyDescent="0.25">
      <c r="K45" t="s">
        <v>93</v>
      </c>
      <c r="L45" t="s">
        <v>179</v>
      </c>
      <c r="M45">
        <v>1</v>
      </c>
      <c r="N45">
        <v>30</v>
      </c>
    </row>
    <row r="46" spans="11:14" x14ac:dyDescent="0.25">
      <c r="K46" t="s">
        <v>94</v>
      </c>
      <c r="L46" t="s">
        <v>179</v>
      </c>
      <c r="M46">
        <v>6</v>
      </c>
      <c r="N46">
        <v>159</v>
      </c>
    </row>
    <row r="47" spans="11:14" x14ac:dyDescent="0.25">
      <c r="K47" t="s">
        <v>95</v>
      </c>
      <c r="L47" t="s">
        <v>163</v>
      </c>
      <c r="M47">
        <v>1</v>
      </c>
      <c r="N47">
        <v>0</v>
      </c>
    </row>
    <row r="48" spans="11:14" x14ac:dyDescent="0.25">
      <c r="K48" t="s">
        <v>96</v>
      </c>
      <c r="L48" t="s">
        <v>163</v>
      </c>
      <c r="M48">
        <v>1</v>
      </c>
      <c r="N48">
        <v>5</v>
      </c>
    </row>
    <row r="49" spans="11:14" x14ac:dyDescent="0.25">
      <c r="K49" t="s">
        <v>97</v>
      </c>
      <c r="L49" t="s">
        <v>179</v>
      </c>
      <c r="M49">
        <v>1</v>
      </c>
      <c r="N49">
        <v>57</v>
      </c>
    </row>
    <row r="50" spans="11:14" x14ac:dyDescent="0.25">
      <c r="K50" t="s">
        <v>74</v>
      </c>
      <c r="L50" t="s">
        <v>163</v>
      </c>
      <c r="M50">
        <v>3</v>
      </c>
      <c r="N50">
        <v>44</v>
      </c>
    </row>
    <row r="51" spans="11:14" x14ac:dyDescent="0.25">
      <c r="K51" t="s">
        <v>76</v>
      </c>
      <c r="L51" t="s">
        <v>163</v>
      </c>
      <c r="M51">
        <v>3</v>
      </c>
      <c r="N51">
        <v>175</v>
      </c>
    </row>
    <row r="52" spans="11:14" x14ac:dyDescent="0.25">
      <c r="K52" t="s">
        <v>79</v>
      </c>
      <c r="L52" t="s">
        <v>163</v>
      </c>
      <c r="M52">
        <v>1</v>
      </c>
      <c r="N52">
        <v>1</v>
      </c>
    </row>
    <row r="53" spans="11:14" x14ac:dyDescent="0.25">
      <c r="K53" t="s">
        <v>80</v>
      </c>
      <c r="L53" t="s">
        <v>163</v>
      </c>
      <c r="M53">
        <v>1</v>
      </c>
      <c r="N53">
        <v>7</v>
      </c>
    </row>
    <row r="54" spans="11:14" x14ac:dyDescent="0.25">
      <c r="K54" t="s">
        <v>81</v>
      </c>
      <c r="L54" t="s">
        <v>163</v>
      </c>
      <c r="M54">
        <v>1</v>
      </c>
      <c r="N54">
        <v>0</v>
      </c>
    </row>
    <row r="55" spans="11:14" x14ac:dyDescent="0.25">
      <c r="K55" t="s">
        <v>82</v>
      </c>
      <c r="L55" t="s">
        <v>163</v>
      </c>
      <c r="M55">
        <v>1</v>
      </c>
      <c r="N55">
        <v>14</v>
      </c>
    </row>
    <row r="56" spans="11:14" x14ac:dyDescent="0.25">
      <c r="K56" t="s">
        <v>83</v>
      </c>
      <c r="L56" t="s">
        <v>163</v>
      </c>
      <c r="M56">
        <v>1</v>
      </c>
      <c r="N56">
        <v>0</v>
      </c>
    </row>
    <row r="57" spans="11:14" x14ac:dyDescent="0.25">
      <c r="K57" t="s">
        <v>123</v>
      </c>
      <c r="L57" t="s">
        <v>179</v>
      </c>
      <c r="M57">
        <v>1</v>
      </c>
      <c r="N57">
        <v>0</v>
      </c>
    </row>
    <row r="58" spans="11:14" x14ac:dyDescent="0.25">
      <c r="K58" t="s">
        <v>124</v>
      </c>
      <c r="L58" t="s">
        <v>179</v>
      </c>
      <c r="M58">
        <v>1</v>
      </c>
      <c r="N58">
        <v>0</v>
      </c>
    </row>
    <row r="59" spans="11:14" x14ac:dyDescent="0.25">
      <c r="K59" t="s">
        <v>125</v>
      </c>
      <c r="L59" t="s">
        <v>179</v>
      </c>
      <c r="M59">
        <v>4</v>
      </c>
      <c r="N59">
        <v>273</v>
      </c>
    </row>
    <row r="60" spans="11:14" x14ac:dyDescent="0.25">
      <c r="K60" t="s">
        <v>126</v>
      </c>
      <c r="L60" t="s">
        <v>179</v>
      </c>
      <c r="M60">
        <v>1</v>
      </c>
      <c r="N60">
        <v>0</v>
      </c>
    </row>
    <row r="61" spans="11:14" x14ac:dyDescent="0.25">
      <c r="K61" t="s">
        <v>127</v>
      </c>
      <c r="L61" t="s">
        <v>179</v>
      </c>
      <c r="M61">
        <v>3</v>
      </c>
      <c r="N61">
        <v>11</v>
      </c>
    </row>
    <row r="62" spans="11:14" x14ac:dyDescent="0.25">
      <c r="K62" t="s">
        <v>128</v>
      </c>
      <c r="L62" t="s">
        <v>179</v>
      </c>
      <c r="M62">
        <v>1</v>
      </c>
      <c r="N62">
        <v>0</v>
      </c>
    </row>
    <row r="63" spans="11:14" x14ac:dyDescent="0.25">
      <c r="K63" t="s">
        <v>129</v>
      </c>
      <c r="L63" t="s">
        <v>179</v>
      </c>
      <c r="M63">
        <v>2</v>
      </c>
      <c r="N63">
        <v>118</v>
      </c>
    </row>
    <row r="64" spans="11:14" x14ac:dyDescent="0.25">
      <c r="K64" t="s">
        <v>130</v>
      </c>
      <c r="L64" t="s">
        <v>179</v>
      </c>
      <c r="M64">
        <v>1</v>
      </c>
      <c r="N64">
        <v>1</v>
      </c>
    </row>
    <row r="65" spans="11:14" x14ac:dyDescent="0.25">
      <c r="K65" t="s">
        <v>131</v>
      </c>
      <c r="L65" t="s">
        <v>179</v>
      </c>
      <c r="M65">
        <v>1</v>
      </c>
      <c r="N65">
        <v>4</v>
      </c>
    </row>
    <row r="66" spans="11:14" x14ac:dyDescent="0.25">
      <c r="K66" t="s">
        <v>132</v>
      </c>
      <c r="L66" t="s">
        <v>179</v>
      </c>
      <c r="M66">
        <v>1</v>
      </c>
      <c r="N66">
        <v>0</v>
      </c>
    </row>
    <row r="67" spans="11:14" x14ac:dyDescent="0.25">
      <c r="K67" t="s">
        <v>133</v>
      </c>
      <c r="L67" t="s">
        <v>179</v>
      </c>
      <c r="M67">
        <v>1</v>
      </c>
      <c r="N67">
        <v>1</v>
      </c>
    </row>
    <row r="68" spans="11:14" x14ac:dyDescent="0.25">
      <c r="K68" t="s">
        <v>75</v>
      </c>
      <c r="L68" t="s">
        <v>164</v>
      </c>
      <c r="M68">
        <v>1</v>
      </c>
      <c r="N68">
        <v>0</v>
      </c>
    </row>
    <row r="69" spans="11:14" x14ac:dyDescent="0.25">
      <c r="K69" t="s">
        <v>77</v>
      </c>
      <c r="L69" t="s">
        <v>164</v>
      </c>
      <c r="M69">
        <v>1</v>
      </c>
      <c r="N69">
        <v>0</v>
      </c>
    </row>
    <row r="70" spans="11:14" x14ac:dyDescent="0.25">
      <c r="K70" t="s">
        <v>84</v>
      </c>
      <c r="L70" t="s">
        <v>164</v>
      </c>
      <c r="M70">
        <v>1</v>
      </c>
      <c r="N70">
        <v>5</v>
      </c>
    </row>
    <row r="71" spans="11:14" x14ac:dyDescent="0.25">
      <c r="K71" t="s">
        <v>85</v>
      </c>
      <c r="L71" t="s">
        <v>164</v>
      </c>
      <c r="M71">
        <v>1</v>
      </c>
      <c r="N71">
        <v>0</v>
      </c>
    </row>
    <row r="72" spans="11:14" x14ac:dyDescent="0.25">
      <c r="K72" t="s">
        <v>86</v>
      </c>
      <c r="L72" t="s">
        <v>164</v>
      </c>
      <c r="M72">
        <v>1</v>
      </c>
      <c r="N72">
        <v>3</v>
      </c>
    </row>
    <row r="73" spans="11:14" x14ac:dyDescent="0.25">
      <c r="K73" t="s">
        <v>98</v>
      </c>
      <c r="L73" t="s">
        <v>179</v>
      </c>
      <c r="M73">
        <v>3</v>
      </c>
      <c r="N73">
        <v>9</v>
      </c>
    </row>
    <row r="74" spans="11:14" x14ac:dyDescent="0.25">
      <c r="K74" t="s">
        <v>99</v>
      </c>
      <c r="L74" t="s">
        <v>179</v>
      </c>
      <c r="M74">
        <v>1</v>
      </c>
      <c r="N74">
        <v>0</v>
      </c>
    </row>
    <row r="75" spans="11:14" x14ac:dyDescent="0.25">
      <c r="K75" t="s">
        <v>100</v>
      </c>
      <c r="L75" t="s">
        <v>179</v>
      </c>
      <c r="M75">
        <v>1</v>
      </c>
      <c r="N75">
        <v>0</v>
      </c>
    </row>
    <row r="76" spans="11:14" x14ac:dyDescent="0.25">
      <c r="K76" t="s">
        <v>101</v>
      </c>
      <c r="L76" t="s">
        <v>179</v>
      </c>
      <c r="M76">
        <v>1</v>
      </c>
      <c r="N76">
        <v>35</v>
      </c>
    </row>
    <row r="77" spans="11:14" x14ac:dyDescent="0.25">
      <c r="K77" t="s">
        <v>102</v>
      </c>
      <c r="L77" t="s">
        <v>179</v>
      </c>
      <c r="M77">
        <v>1</v>
      </c>
      <c r="N77">
        <v>14</v>
      </c>
    </row>
    <row r="78" spans="11:14" x14ac:dyDescent="0.25">
      <c r="K78" t="s">
        <v>103</v>
      </c>
      <c r="L78" t="s">
        <v>179</v>
      </c>
      <c r="M78">
        <v>3</v>
      </c>
      <c r="N78">
        <v>15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62F7B-B7D8-41A9-8C68-FD8B3550237F}">
  <dimension ref="E3:F83"/>
  <sheetViews>
    <sheetView workbookViewId="0">
      <selection activeCell="K79" sqref="K79"/>
    </sheetView>
  </sheetViews>
  <sheetFormatPr defaultRowHeight="15" x14ac:dyDescent="0.25"/>
  <sheetData>
    <row r="3" spans="5:6" x14ac:dyDescent="0.25">
      <c r="E3" t="s">
        <v>72</v>
      </c>
      <c r="F3" t="s">
        <v>172</v>
      </c>
    </row>
    <row r="4" spans="5:6" x14ac:dyDescent="0.25">
      <c r="E4" t="s">
        <v>74</v>
      </c>
      <c r="F4" t="s">
        <v>163</v>
      </c>
    </row>
    <row r="5" spans="5:6" x14ac:dyDescent="0.25">
      <c r="E5" t="s">
        <v>76</v>
      </c>
      <c r="F5" t="s">
        <v>163</v>
      </c>
    </row>
    <row r="6" spans="5:6" x14ac:dyDescent="0.25">
      <c r="E6" t="s">
        <v>79</v>
      </c>
      <c r="F6" t="s">
        <v>163</v>
      </c>
    </row>
    <row r="7" spans="5:6" x14ac:dyDescent="0.25">
      <c r="E7" t="s">
        <v>80</v>
      </c>
      <c r="F7" t="s">
        <v>163</v>
      </c>
    </row>
    <row r="8" spans="5:6" x14ac:dyDescent="0.25">
      <c r="E8" t="s">
        <v>81</v>
      </c>
      <c r="F8" t="s">
        <v>163</v>
      </c>
    </row>
    <row r="9" spans="5:6" x14ac:dyDescent="0.25">
      <c r="E9" t="s">
        <v>82</v>
      </c>
      <c r="F9" t="s">
        <v>163</v>
      </c>
    </row>
    <row r="10" spans="5:6" x14ac:dyDescent="0.25">
      <c r="E10" t="s">
        <v>83</v>
      </c>
      <c r="F10" t="s">
        <v>163</v>
      </c>
    </row>
    <row r="11" spans="5:6" x14ac:dyDescent="0.25">
      <c r="E11" t="s">
        <v>75</v>
      </c>
      <c r="F11" t="s">
        <v>164</v>
      </c>
    </row>
    <row r="12" spans="5:6" x14ac:dyDescent="0.25">
      <c r="E12" t="s">
        <v>77</v>
      </c>
      <c r="F12" t="s">
        <v>164</v>
      </c>
    </row>
    <row r="13" spans="5:6" x14ac:dyDescent="0.25">
      <c r="E13" t="s">
        <v>78</v>
      </c>
      <c r="F13" t="s">
        <v>164</v>
      </c>
    </row>
    <row r="14" spans="5:6" x14ac:dyDescent="0.25">
      <c r="E14" t="s">
        <v>84</v>
      </c>
      <c r="F14" t="s">
        <v>164</v>
      </c>
    </row>
    <row r="15" spans="5:6" x14ac:dyDescent="0.25">
      <c r="E15" t="s">
        <v>85</v>
      </c>
      <c r="F15" t="s">
        <v>164</v>
      </c>
    </row>
    <row r="16" spans="5:6" x14ac:dyDescent="0.25">
      <c r="E16" t="s">
        <v>86</v>
      </c>
      <c r="F16" t="s">
        <v>164</v>
      </c>
    </row>
    <row r="17" spans="5:6" x14ac:dyDescent="0.25">
      <c r="E17" t="s">
        <v>88</v>
      </c>
      <c r="F17" t="s">
        <v>165</v>
      </c>
    </row>
    <row r="18" spans="5:6" x14ac:dyDescent="0.25">
      <c r="E18" t="s">
        <v>89</v>
      </c>
      <c r="F18" t="s">
        <v>165</v>
      </c>
    </row>
    <row r="19" spans="5:6" x14ac:dyDescent="0.25">
      <c r="E19" t="s">
        <v>90</v>
      </c>
      <c r="F19" t="s">
        <v>165</v>
      </c>
    </row>
    <row r="20" spans="5:6" x14ac:dyDescent="0.25">
      <c r="E20" t="s">
        <v>91</v>
      </c>
      <c r="F20" t="s">
        <v>165</v>
      </c>
    </row>
    <row r="21" spans="5:6" x14ac:dyDescent="0.25">
      <c r="E21" t="s">
        <v>92</v>
      </c>
      <c r="F21" t="s">
        <v>165</v>
      </c>
    </row>
    <row r="22" spans="5:6" x14ac:dyDescent="0.25">
      <c r="E22" t="s">
        <v>93</v>
      </c>
      <c r="F22" t="s">
        <v>165</v>
      </c>
    </row>
    <row r="23" spans="5:6" x14ac:dyDescent="0.25">
      <c r="E23" t="s">
        <v>94</v>
      </c>
      <c r="F23" t="s">
        <v>165</v>
      </c>
    </row>
    <row r="24" spans="5:6" x14ac:dyDescent="0.25">
      <c r="E24" t="s">
        <v>95</v>
      </c>
      <c r="F24" t="s">
        <v>165</v>
      </c>
    </row>
    <row r="25" spans="5:6" x14ac:dyDescent="0.25">
      <c r="E25" t="s">
        <v>96</v>
      </c>
      <c r="F25" t="s">
        <v>165</v>
      </c>
    </row>
    <row r="26" spans="5:6" x14ac:dyDescent="0.25">
      <c r="E26" t="s">
        <v>97</v>
      </c>
      <c r="F26" t="s">
        <v>165</v>
      </c>
    </row>
    <row r="27" spans="5:6" x14ac:dyDescent="0.25">
      <c r="E27" t="s">
        <v>98</v>
      </c>
      <c r="F27" t="s">
        <v>166</v>
      </c>
    </row>
    <row r="28" spans="5:6" x14ac:dyDescent="0.25">
      <c r="E28" t="s">
        <v>99</v>
      </c>
      <c r="F28" t="s">
        <v>166</v>
      </c>
    </row>
    <row r="29" spans="5:6" x14ac:dyDescent="0.25">
      <c r="E29" t="s">
        <v>100</v>
      </c>
      <c r="F29" t="s">
        <v>166</v>
      </c>
    </row>
    <row r="30" spans="5:6" x14ac:dyDescent="0.25">
      <c r="E30" t="s">
        <v>101</v>
      </c>
      <c r="F30" t="s">
        <v>166</v>
      </c>
    </row>
    <row r="31" spans="5:6" x14ac:dyDescent="0.25">
      <c r="E31" t="s">
        <v>102</v>
      </c>
      <c r="F31" t="s">
        <v>166</v>
      </c>
    </row>
    <row r="32" spans="5:6" x14ac:dyDescent="0.25">
      <c r="E32" t="s">
        <v>103</v>
      </c>
      <c r="F32" t="s">
        <v>166</v>
      </c>
    </row>
    <row r="33" spans="5:6" x14ac:dyDescent="0.25">
      <c r="E33" t="s">
        <v>105</v>
      </c>
      <c r="F33" t="s">
        <v>167</v>
      </c>
    </row>
    <row r="34" spans="5:6" x14ac:dyDescent="0.25">
      <c r="E34" t="s">
        <v>106</v>
      </c>
      <c r="F34" t="s">
        <v>167</v>
      </c>
    </row>
    <row r="35" spans="5:6" x14ac:dyDescent="0.25">
      <c r="E35" t="s">
        <v>107</v>
      </c>
      <c r="F35" t="s">
        <v>167</v>
      </c>
    </row>
    <row r="36" spans="5:6" x14ac:dyDescent="0.25">
      <c r="E36" t="s">
        <v>108</v>
      </c>
      <c r="F36" t="s">
        <v>167</v>
      </c>
    </row>
    <row r="37" spans="5:6" x14ac:dyDescent="0.25">
      <c r="E37" t="s">
        <v>109</v>
      </c>
      <c r="F37" t="s">
        <v>167</v>
      </c>
    </row>
    <row r="38" spans="5:6" x14ac:dyDescent="0.25">
      <c r="E38" t="s">
        <v>110</v>
      </c>
      <c r="F38" t="s">
        <v>167</v>
      </c>
    </row>
    <row r="39" spans="5:6" x14ac:dyDescent="0.25">
      <c r="E39" t="s">
        <v>111</v>
      </c>
      <c r="F39" t="s">
        <v>167</v>
      </c>
    </row>
    <row r="40" spans="5:6" x14ac:dyDescent="0.25">
      <c r="E40" t="s">
        <v>112</v>
      </c>
      <c r="F40" t="s">
        <v>167</v>
      </c>
    </row>
    <row r="41" spans="5:6" x14ac:dyDescent="0.25">
      <c r="E41" t="s">
        <v>113</v>
      </c>
      <c r="F41" t="s">
        <v>167</v>
      </c>
    </row>
    <row r="42" spans="5:6" x14ac:dyDescent="0.25">
      <c r="E42" t="s">
        <v>114</v>
      </c>
      <c r="F42" t="s">
        <v>167</v>
      </c>
    </row>
    <row r="43" spans="5:6" x14ac:dyDescent="0.25">
      <c r="E43" t="s">
        <v>115</v>
      </c>
      <c r="F43" t="s">
        <v>167</v>
      </c>
    </row>
    <row r="44" spans="5:6" x14ac:dyDescent="0.25">
      <c r="E44" t="s">
        <v>116</v>
      </c>
      <c r="F44" t="s">
        <v>167</v>
      </c>
    </row>
    <row r="45" spans="5:6" x14ac:dyDescent="0.25">
      <c r="E45" t="s">
        <v>117</v>
      </c>
      <c r="F45" t="s">
        <v>167</v>
      </c>
    </row>
    <row r="46" spans="5:6" x14ac:dyDescent="0.25">
      <c r="E46" t="s">
        <v>118</v>
      </c>
      <c r="F46" t="s">
        <v>167</v>
      </c>
    </row>
    <row r="47" spans="5:6" x14ac:dyDescent="0.25">
      <c r="E47" t="s">
        <v>119</v>
      </c>
      <c r="F47" t="s">
        <v>167</v>
      </c>
    </row>
    <row r="48" spans="5:6" x14ac:dyDescent="0.25">
      <c r="E48" t="s">
        <v>120</v>
      </c>
      <c r="F48" t="s">
        <v>167</v>
      </c>
    </row>
    <row r="49" spans="5:6" x14ac:dyDescent="0.25">
      <c r="E49" t="s">
        <v>121</v>
      </c>
      <c r="F49" t="s">
        <v>167</v>
      </c>
    </row>
    <row r="50" spans="5:6" x14ac:dyDescent="0.25">
      <c r="E50" t="s">
        <v>123</v>
      </c>
      <c r="F50" t="s">
        <v>179</v>
      </c>
    </row>
    <row r="51" spans="5:6" x14ac:dyDescent="0.25">
      <c r="E51" t="s">
        <v>124</v>
      </c>
      <c r="F51" t="s">
        <v>179</v>
      </c>
    </row>
    <row r="52" spans="5:6" x14ac:dyDescent="0.25">
      <c r="E52" t="s">
        <v>125</v>
      </c>
      <c r="F52" t="s">
        <v>179</v>
      </c>
    </row>
    <row r="53" spans="5:6" x14ac:dyDescent="0.25">
      <c r="E53" t="s">
        <v>126</v>
      </c>
      <c r="F53" t="s">
        <v>179</v>
      </c>
    </row>
    <row r="54" spans="5:6" x14ac:dyDescent="0.25">
      <c r="E54" t="s">
        <v>127</v>
      </c>
      <c r="F54" t="s">
        <v>179</v>
      </c>
    </row>
    <row r="55" spans="5:6" x14ac:dyDescent="0.25">
      <c r="E55" t="s">
        <v>128</v>
      </c>
      <c r="F55" t="s">
        <v>179</v>
      </c>
    </row>
    <row r="56" spans="5:6" x14ac:dyDescent="0.25">
      <c r="E56" t="s">
        <v>129</v>
      </c>
      <c r="F56" t="s">
        <v>179</v>
      </c>
    </row>
    <row r="57" spans="5:6" x14ac:dyDescent="0.25">
      <c r="E57" t="s">
        <v>130</v>
      </c>
      <c r="F57" t="s">
        <v>179</v>
      </c>
    </row>
    <row r="58" spans="5:6" x14ac:dyDescent="0.25">
      <c r="E58" t="s">
        <v>131</v>
      </c>
      <c r="F58" t="s">
        <v>179</v>
      </c>
    </row>
    <row r="59" spans="5:6" x14ac:dyDescent="0.25">
      <c r="E59" t="s">
        <v>132</v>
      </c>
      <c r="F59" t="s">
        <v>179</v>
      </c>
    </row>
    <row r="60" spans="5:6" x14ac:dyDescent="0.25">
      <c r="E60" t="s">
        <v>133</v>
      </c>
      <c r="F60" t="s">
        <v>179</v>
      </c>
    </row>
    <row r="61" spans="5:6" x14ac:dyDescent="0.25">
      <c r="E61" t="s">
        <v>138</v>
      </c>
      <c r="F61" t="s">
        <v>168</v>
      </c>
    </row>
    <row r="62" spans="5:6" x14ac:dyDescent="0.25">
      <c r="E62" t="s">
        <v>139</v>
      </c>
      <c r="F62" t="s">
        <v>168</v>
      </c>
    </row>
    <row r="63" spans="5:6" x14ac:dyDescent="0.25">
      <c r="E63" t="s">
        <v>140</v>
      </c>
      <c r="F63" t="s">
        <v>168</v>
      </c>
    </row>
    <row r="64" spans="5:6" x14ac:dyDescent="0.25">
      <c r="E64" t="s">
        <v>141</v>
      </c>
      <c r="F64" t="s">
        <v>168</v>
      </c>
    </row>
    <row r="65" spans="5:6" x14ac:dyDescent="0.25">
      <c r="E65" t="s">
        <v>142</v>
      </c>
      <c r="F65" t="s">
        <v>168</v>
      </c>
    </row>
    <row r="66" spans="5:6" x14ac:dyDescent="0.25">
      <c r="E66" t="s">
        <v>143</v>
      </c>
      <c r="F66" t="s">
        <v>169</v>
      </c>
    </row>
    <row r="67" spans="5:6" x14ac:dyDescent="0.25">
      <c r="E67" t="s">
        <v>144</v>
      </c>
      <c r="F67" t="s">
        <v>169</v>
      </c>
    </row>
    <row r="68" spans="5:6" x14ac:dyDescent="0.25">
      <c r="E68" t="s">
        <v>145</v>
      </c>
      <c r="F68" t="s">
        <v>169</v>
      </c>
    </row>
    <row r="69" spans="5:6" x14ac:dyDescent="0.25">
      <c r="E69" t="s">
        <v>146</v>
      </c>
      <c r="F69" t="s">
        <v>169</v>
      </c>
    </row>
    <row r="70" spans="5:6" x14ac:dyDescent="0.25">
      <c r="E70" t="s">
        <v>147</v>
      </c>
      <c r="F70" t="s">
        <v>169</v>
      </c>
    </row>
    <row r="71" spans="5:6" x14ac:dyDescent="0.25">
      <c r="E71" t="s">
        <v>148</v>
      </c>
      <c r="F71" t="s">
        <v>169</v>
      </c>
    </row>
    <row r="72" spans="5:6" x14ac:dyDescent="0.25">
      <c r="E72" t="s">
        <v>149</v>
      </c>
      <c r="F72" t="s">
        <v>169</v>
      </c>
    </row>
    <row r="73" spans="5:6" x14ac:dyDescent="0.25">
      <c r="E73" t="s">
        <v>151</v>
      </c>
      <c r="F73" t="s">
        <v>169</v>
      </c>
    </row>
    <row r="74" spans="5:6" x14ac:dyDescent="0.25">
      <c r="E74" t="s">
        <v>135</v>
      </c>
      <c r="F74" t="s">
        <v>170</v>
      </c>
    </row>
    <row r="75" spans="5:6" x14ac:dyDescent="0.25">
      <c r="E75" t="s">
        <v>136</v>
      </c>
      <c r="F75" t="s">
        <v>170</v>
      </c>
    </row>
    <row r="76" spans="5:6" x14ac:dyDescent="0.25">
      <c r="E76" t="s">
        <v>137</v>
      </c>
      <c r="F76" t="s">
        <v>170</v>
      </c>
    </row>
    <row r="77" spans="5:6" x14ac:dyDescent="0.25">
      <c r="E77" t="s">
        <v>150</v>
      </c>
      <c r="F77" t="s">
        <v>170</v>
      </c>
    </row>
    <row r="78" spans="5:6" x14ac:dyDescent="0.25">
      <c r="E78" t="s">
        <v>157</v>
      </c>
      <c r="F78" t="s">
        <v>170</v>
      </c>
    </row>
    <row r="79" spans="5:6" x14ac:dyDescent="0.25">
      <c r="E79" t="s">
        <v>153</v>
      </c>
      <c r="F79" t="s">
        <v>171</v>
      </c>
    </row>
    <row r="80" spans="5:6" x14ac:dyDescent="0.25">
      <c r="E80" t="s">
        <v>154</v>
      </c>
      <c r="F80" t="s">
        <v>171</v>
      </c>
    </row>
    <row r="81" spans="5:6" x14ac:dyDescent="0.25">
      <c r="E81" t="s">
        <v>155</v>
      </c>
      <c r="F81" t="s">
        <v>171</v>
      </c>
    </row>
    <row r="82" spans="5:6" x14ac:dyDescent="0.25">
      <c r="E82" t="s">
        <v>156</v>
      </c>
      <c r="F82" t="s">
        <v>171</v>
      </c>
    </row>
    <row r="83" spans="5:6" x14ac:dyDescent="0.25">
      <c r="E83" t="s">
        <v>158</v>
      </c>
      <c r="F83" t="s">
        <v>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Raw</vt:lpstr>
      <vt:lpstr>Avg</vt:lpstr>
      <vt:lpstr>4b vs 9b</vt:lpstr>
      <vt:lpstr>Sheet3</vt:lpstr>
      <vt:lpstr>starting skills</vt:lpstr>
      <vt:lpstr>Skills</vt:lpstr>
      <vt:lpstr>Sheet4</vt:lpstr>
      <vt:lpstr>All skills</vt:lpstr>
      <vt:lpstr>No starting skills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 Zoe</dc:creator>
  <cp:lastModifiedBy>Carl Anders Stilvén</cp:lastModifiedBy>
  <dcterms:created xsi:type="dcterms:W3CDTF">2015-06-05T18:19:34Z</dcterms:created>
  <dcterms:modified xsi:type="dcterms:W3CDTF">2026-05-11T23:48:17Z</dcterms:modified>
</cp:coreProperties>
</file>